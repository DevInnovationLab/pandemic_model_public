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 Quaade\Documents\GitHub\pandemic_model\data\raw\"/>
    </mc:Choice>
  </mc:AlternateContent>
  <xr:revisionPtr revIDLastSave="0" documentId="13_ncr:1_{79DB158C-E864-4386-9203-9A1956844313}" xr6:coauthVersionLast="47" xr6:coauthVersionMax="47" xr10:uidLastSave="{00000000-0000-0000-0000-000000000000}"/>
  <bookViews>
    <workbookView xWindow="-110" yWindow="-110" windowWidth="19420" windowHeight="10300" xr2:uid="{085248D6-2C7A-41D9-A7C2-7F849F87BDA5}"/>
  </bookViews>
  <sheets>
    <sheet name="Intens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" i="1" l="1"/>
  <c r="K4" i="1"/>
  <c r="K5" i="1"/>
  <c r="K7" i="1"/>
  <c r="K3" i="1"/>
  <c r="C34" i="1"/>
  <c r="F6" i="1"/>
  <c r="F3" i="1"/>
  <c r="G3" i="1" s="1"/>
  <c r="H3" i="1" s="1"/>
  <c r="D3" i="1"/>
  <c r="H6" i="1" l="1"/>
  <c r="F4" i="1"/>
  <c r="F5" i="1"/>
  <c r="F7" i="1"/>
  <c r="D6" i="1"/>
  <c r="C22" i="1"/>
  <c r="C21" i="1"/>
  <c r="C20" i="1"/>
  <c r="C19" i="1"/>
  <c r="C18" i="1"/>
  <c r="C17" i="1"/>
  <c r="C16" i="1"/>
  <c r="C33" i="1"/>
  <c r="C24" i="1"/>
  <c r="C25" i="1"/>
  <c r="C26" i="1"/>
  <c r="C27" i="1"/>
  <c r="C28" i="1"/>
  <c r="C29" i="1"/>
  <c r="C30" i="1"/>
  <c r="C31" i="1"/>
  <c r="C32" i="1"/>
  <c r="D32" i="1" s="1"/>
  <c r="C23" i="1"/>
  <c r="D4" i="1"/>
  <c r="D5" i="1"/>
  <c r="D7" i="1"/>
  <c r="G7" i="1" l="1"/>
  <c r="G5" i="1"/>
  <c r="G4" i="1"/>
  <c r="D20" i="1"/>
  <c r="D21" i="1"/>
  <c r="D22" i="1"/>
  <c r="D23" i="1"/>
  <c r="D31" i="1"/>
  <c r="D16" i="1"/>
  <c r="D17" i="1"/>
  <c r="D18" i="1"/>
  <c r="D19" i="1"/>
  <c r="D29" i="1"/>
  <c r="D30" i="1"/>
  <c r="D28" i="1"/>
  <c r="D27" i="1"/>
  <c r="D26" i="1"/>
  <c r="D25" i="1"/>
  <c r="D24" i="1"/>
</calcChain>
</file>

<file path=xl/sharedStrings.xml><?xml version="1.0" encoding="utf-8"?>
<sst xmlns="http://schemas.openxmlformats.org/spreadsheetml/2006/main" count="22" uniqueCount="22">
  <si>
    <t>Disease</t>
  </si>
  <si>
    <t>SARS</t>
  </si>
  <si>
    <t>Start Date</t>
  </si>
  <si>
    <t>Ebola</t>
  </si>
  <si>
    <t>Emd Date</t>
  </si>
  <si>
    <t>Duration</t>
  </si>
  <si>
    <t>GDP Losses per Year (bil $)</t>
  </si>
  <si>
    <t>GDP Growth</t>
  </si>
  <si>
    <t>Year</t>
  </si>
  <si>
    <t>Mortaliy (mil)</t>
  </si>
  <si>
    <t>Annual mortality (mil)</t>
  </si>
  <si>
    <t>Intensity</t>
  </si>
  <si>
    <t>Zika</t>
  </si>
  <si>
    <t>Mortality</t>
  </si>
  <si>
    <t>1918 flu</t>
  </si>
  <si>
    <t>Covid-19</t>
  </si>
  <si>
    <t>GDP percentage loss per year</t>
  </si>
  <si>
    <t>GDP proportional loss per year</t>
  </si>
  <si>
    <t>Notes on values</t>
  </si>
  <si>
    <t>Mortality source</t>
  </si>
  <si>
    <t>Economic loss source</t>
  </si>
  <si>
    <t xml:space="preserve">Our world in data shows other mortality estimates; one is more recent and is about half of the value 32 million value we currently use.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</si>
</sst>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1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5445292620865138E-2"/>
                  <c:y val="3.174603174603174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Zika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D5A6-41CE-9FFB-7B10EF2CA42F}"/>
                </c:ext>
              </c:extLst>
            </c:dLbl>
            <c:dLbl>
              <c:idx val="1"/>
              <c:layout>
                <c:manualLayout>
                  <c:x val="-3.1099802092168505E-2"/>
                  <c:y val="3.3779046849912904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SARS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5A6-41CE-9FFB-7B10EF2CA42F}"/>
                </c:ext>
              </c:extLst>
            </c:dLbl>
            <c:dLbl>
              <c:idx val="2"/>
              <c:layout>
                <c:manualLayout>
                  <c:x val="-3.5340684195646024E-2"/>
                  <c:y val="-3.2155019084152942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Ebola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D5A6-41CE-9FFB-7B10EF2CA42F}"/>
                </c:ext>
              </c:extLst>
            </c:dLbl>
            <c:dLbl>
              <c:idx val="3"/>
              <c:layout>
                <c:manualLayout>
                  <c:x val="-4.5236075770426917E-2"/>
                  <c:y val="-2.930402930402932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Covid-19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5A6-41CE-9FFB-7B10EF2CA42F}"/>
                </c:ext>
              </c:extLst>
            </c:dLbl>
            <c:dLbl>
              <c:idx val="4"/>
              <c:layout>
                <c:manualLayout>
                  <c:x val="-3.2513429459994345E-2"/>
                  <c:y val="3.8663051733917875E-2"/>
                </c:manualLayout>
              </c:layout>
              <c:tx>
                <c:rich>
                  <a:bodyPr/>
                  <a:lstStyle/>
                  <a:p>
                    <a:r>
                      <a:rPr lang="en-US" sz="1200"/>
                      <a:t>1918 flu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5A6-41CE-9FFB-7B10EF2CA4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8792963000769861"/>
                  <c:y val="2.824496203624134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Intensity!$H$3:$H$7</c:f>
              <c:numCache>
                <c:formatCode>General</c:formatCode>
                <c:ptCount val="5"/>
                <c:pt idx="0">
                  <c:v>4.5351473922902495E-5</c:v>
                </c:pt>
                <c:pt idx="1">
                  <c:v>1.1659276193378199E-4</c:v>
                </c:pt>
                <c:pt idx="2">
                  <c:v>3.9265207718322873E-4</c:v>
                </c:pt>
                <c:pt idx="3">
                  <c:v>0.32216494845360827</c:v>
                </c:pt>
                <c:pt idx="4">
                  <c:v>5.694051495578214</c:v>
                </c:pt>
              </c:numCache>
            </c:numRef>
          </c:xVal>
          <c:yVal>
            <c:numRef>
              <c:f>Intensity!$K$3:$K$7</c:f>
              <c:numCache>
                <c:formatCode>General</c:formatCode>
                <c:ptCount val="5"/>
                <c:pt idx="0">
                  <c:v>1.67E-2</c:v>
                </c:pt>
                <c:pt idx="1">
                  <c:v>2.5000000000000001E-2</c:v>
                </c:pt>
                <c:pt idx="2">
                  <c:v>8.3000000000000004E-2</c:v>
                </c:pt>
                <c:pt idx="3">
                  <c:v>3.5999999999999996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A6-41CE-9FFB-7B10EF2CA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630928"/>
        <c:axId val="1597622192"/>
      </c:scatterChart>
      <c:valAx>
        <c:axId val="159763092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Mortality intensity </a:t>
                </a:r>
                <a:r>
                  <a:rPr lang="en-US" sz="1200" i="1"/>
                  <a:t>i</a:t>
                </a:r>
                <a:r>
                  <a:rPr lang="en-US" sz="1200"/>
                  <a:t> (deaths</a:t>
                </a:r>
                <a:r>
                  <a:rPr lang="en-US" sz="1200" baseline="0"/>
                  <a:t> </a:t>
                </a:r>
                <a:r>
                  <a:rPr lang="en-US" sz="1200"/>
                  <a:t>per thousand</a:t>
                </a:r>
                <a:r>
                  <a:rPr lang="en-US" sz="1200" baseline="0"/>
                  <a:t> per year)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22192"/>
        <c:crossesAt val="1.0000000000000003E-4"/>
        <c:crossBetween val="midCat"/>
      </c:valAx>
      <c:valAx>
        <c:axId val="1597622192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Economic-output losses  (% global GDP annually</a:t>
                </a:r>
                <a:r>
                  <a:rPr lang="en-US" sz="1200" baseline="0"/>
                  <a:t>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630928"/>
        <c:crossesAt val="1.0000000000000004E-5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0</xdr:rowOff>
    </xdr:from>
    <xdr:to>
      <xdr:col>17</xdr:col>
      <xdr:colOff>405130</xdr:colOff>
      <xdr:row>38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4CA3A0-0730-493C-AC95-9C49B6EF0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urworldindata.org/spanish-flu-largest-influenza-pandemic-in-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125A-3C09-4121-B534-E0BA457F4FC9}">
  <dimension ref="A2:N34"/>
  <sheetViews>
    <sheetView tabSelected="1" topLeftCell="C1" zoomScale="62" zoomScaleNormal="100" workbookViewId="0">
      <selection activeCell="K6" sqref="K6"/>
    </sheetView>
  </sheetViews>
  <sheetFormatPr defaultRowHeight="14.5" x14ac:dyDescent="0.35"/>
  <cols>
    <col min="1" max="9" width="15.7265625" customWidth="1"/>
    <col min="10" max="10" width="12.54296875" customWidth="1"/>
    <col min="11" max="11" width="10.7265625" customWidth="1"/>
    <col min="14" max="14" width="21.1796875" customWidth="1"/>
  </cols>
  <sheetData>
    <row r="2" spans="1:14" ht="58" x14ac:dyDescent="0.35">
      <c r="A2" s="1" t="s">
        <v>0</v>
      </c>
      <c r="B2" s="1" t="s">
        <v>2</v>
      </c>
      <c r="C2" s="1" t="s">
        <v>4</v>
      </c>
      <c r="D2" s="1" t="s">
        <v>5</v>
      </c>
      <c r="E2" s="1" t="s">
        <v>13</v>
      </c>
      <c r="F2" s="1" t="s">
        <v>9</v>
      </c>
      <c r="G2" s="1" t="s">
        <v>10</v>
      </c>
      <c r="H2" s="1" t="s">
        <v>11</v>
      </c>
      <c r="I2" s="1" t="s">
        <v>6</v>
      </c>
      <c r="J2" s="1" t="s">
        <v>17</v>
      </c>
      <c r="K2" s="1" t="s">
        <v>16</v>
      </c>
      <c r="L2" s="1" t="s">
        <v>19</v>
      </c>
      <c r="M2" s="1" t="s">
        <v>20</v>
      </c>
      <c r="N2" s="1" t="s">
        <v>18</v>
      </c>
    </row>
    <row r="3" spans="1:14" x14ac:dyDescent="0.35">
      <c r="A3" t="s">
        <v>12</v>
      </c>
      <c r="B3">
        <v>2015</v>
      </c>
      <c r="C3">
        <v>2017</v>
      </c>
      <c r="D3">
        <f>C3-B3+1</f>
        <v>3</v>
      </c>
      <c r="E3">
        <v>1000</v>
      </c>
      <c r="F3">
        <f>E3/1000000</f>
        <v>1E-3</v>
      </c>
      <c r="G3">
        <f>F3/D3</f>
        <v>3.3333333333333332E-4</v>
      </c>
      <c r="H3">
        <f>G3/7.35</f>
        <v>4.5351473922902495E-5</v>
      </c>
      <c r="I3" s="2">
        <v>15</v>
      </c>
      <c r="J3">
        <v>1.6699999999999999E-4</v>
      </c>
      <c r="K3">
        <f>J3*100</f>
        <v>1.67E-2</v>
      </c>
    </row>
    <row r="4" spans="1:14" x14ac:dyDescent="0.35">
      <c r="A4" t="s">
        <v>1</v>
      </c>
      <c r="B4">
        <v>2002</v>
      </c>
      <c r="C4">
        <v>2003</v>
      </c>
      <c r="D4">
        <f>C4-B4+1</f>
        <v>2</v>
      </c>
      <c r="E4">
        <v>1000</v>
      </c>
      <c r="F4">
        <f>E4/1000000</f>
        <v>1E-3</v>
      </c>
      <c r="G4">
        <f>F4/D4</f>
        <v>5.0000000000000001E-4</v>
      </c>
      <c r="H4">
        <v>1.1659276193378199E-4</v>
      </c>
      <c r="I4" s="2">
        <v>11</v>
      </c>
      <c r="J4">
        <v>2.5000000000000001E-4</v>
      </c>
      <c r="K4">
        <f t="shared" ref="K4:K7" si="0">J4*100</f>
        <v>2.5000000000000001E-2</v>
      </c>
    </row>
    <row r="5" spans="1:14" x14ac:dyDescent="0.35">
      <c r="A5" t="s">
        <v>3</v>
      </c>
      <c r="B5">
        <v>2014</v>
      </c>
      <c r="C5">
        <v>2014</v>
      </c>
      <c r="D5">
        <f>C5-B5+1</f>
        <v>1</v>
      </c>
      <c r="E5">
        <v>11325</v>
      </c>
      <c r="F5">
        <f>E5/1000000</f>
        <v>1.1325E-2</v>
      </c>
      <c r="G5">
        <f>F5/D5</f>
        <v>1.1325E-2</v>
      </c>
      <c r="H5">
        <v>3.9265207718322873E-4</v>
      </c>
      <c r="I5" s="2">
        <v>72</v>
      </c>
      <c r="J5">
        <v>8.3000000000000001E-4</v>
      </c>
      <c r="K5">
        <f t="shared" si="0"/>
        <v>8.3000000000000004E-2</v>
      </c>
    </row>
    <row r="6" spans="1:14" x14ac:dyDescent="0.35">
      <c r="A6" t="s">
        <v>15</v>
      </c>
      <c r="B6">
        <v>2020</v>
      </c>
      <c r="C6">
        <v>2022</v>
      </c>
      <c r="D6">
        <f>C6-B6+1</f>
        <v>3</v>
      </c>
      <c r="E6">
        <v>21300000</v>
      </c>
      <c r="F6">
        <f>E6/1000000</f>
        <v>21.3</v>
      </c>
      <c r="G6">
        <v>2.5</v>
      </c>
      <c r="H6">
        <f>G6/7.76</f>
        <v>0.32216494845360827</v>
      </c>
      <c r="I6" s="2">
        <v>3151</v>
      </c>
      <c r="J6">
        <v>3.5999999999999997E-2</v>
      </c>
      <c r="K6">
        <f t="shared" si="0"/>
        <v>3.5999999999999996</v>
      </c>
    </row>
    <row r="7" spans="1:14" x14ac:dyDescent="0.35">
      <c r="A7" t="s">
        <v>14</v>
      </c>
      <c r="B7">
        <v>1918</v>
      </c>
      <c r="C7">
        <v>1920</v>
      </c>
      <c r="D7">
        <f>C7-B7+1</f>
        <v>3</v>
      </c>
      <c r="E7">
        <v>32000000</v>
      </c>
      <c r="F7">
        <f>E7/1000000</f>
        <v>32</v>
      </c>
      <c r="G7">
        <f>F7/D7</f>
        <v>10.666666666666666</v>
      </c>
      <c r="H7">
        <v>5.694051495578214</v>
      </c>
      <c r="I7" s="2">
        <v>1751</v>
      </c>
      <c r="J7" s="4">
        <v>0.02</v>
      </c>
      <c r="K7">
        <f t="shared" si="0"/>
        <v>2</v>
      </c>
      <c r="N7" s="5" t="s">
        <v>21</v>
      </c>
    </row>
    <row r="14" spans="1:14" x14ac:dyDescent="0.35">
      <c r="A14" s="3" t="s">
        <v>8</v>
      </c>
      <c r="B14" s="3" t="s">
        <v>7</v>
      </c>
    </row>
    <row r="15" spans="1:14" x14ac:dyDescent="0.35">
      <c r="A15" s="3"/>
      <c r="B15" s="3"/>
    </row>
    <row r="16" spans="1:14" x14ac:dyDescent="0.35">
      <c r="A16">
        <v>2002</v>
      </c>
      <c r="B16">
        <v>2.3371637309079318</v>
      </c>
      <c r="C16">
        <f t="shared" ref="C16:C22" si="1">1+B16/100</f>
        <v>1.0233716373090793</v>
      </c>
      <c r="D16">
        <f>PRODUCT(C16:C$32)</f>
        <v>1.6539171369087313</v>
      </c>
    </row>
    <row r="17" spans="1:4" x14ac:dyDescent="0.35">
      <c r="A17">
        <v>2003</v>
      </c>
      <c r="B17">
        <v>3.1593259357540262</v>
      </c>
      <c r="C17">
        <f t="shared" si="1"/>
        <v>1.0315932593575403</v>
      </c>
      <c r="D17">
        <f>PRODUCT(C17:C$32)</f>
        <v>1.6161451779703901</v>
      </c>
    </row>
    <row r="18" spans="1:4" x14ac:dyDescent="0.35">
      <c r="A18">
        <v>2004</v>
      </c>
      <c r="B18">
        <v>4.4798935995066245</v>
      </c>
      <c r="C18">
        <f t="shared" si="1"/>
        <v>1.0447989359950662</v>
      </c>
      <c r="D18">
        <f>PRODUCT(C18:C$32)</f>
        <v>1.5666496105033669</v>
      </c>
    </row>
    <row r="19" spans="1:4" x14ac:dyDescent="0.35">
      <c r="A19">
        <v>2005</v>
      </c>
      <c r="B19">
        <v>4.0481740082071127</v>
      </c>
      <c r="C19">
        <f t="shared" si="1"/>
        <v>1.0404817400820712</v>
      </c>
      <c r="D19">
        <f>PRODUCT(C19:C$32)</f>
        <v>1.4994747377028013</v>
      </c>
    </row>
    <row r="20" spans="1:4" x14ac:dyDescent="0.35">
      <c r="A20">
        <v>2006</v>
      </c>
      <c r="B20">
        <v>4.4956256640955132</v>
      </c>
      <c r="C20">
        <f t="shared" si="1"/>
        <v>1.0449562566409552</v>
      </c>
      <c r="D20">
        <f>PRODUCT(C20:C$32)</f>
        <v>1.4411350818943975</v>
      </c>
    </row>
    <row r="21" spans="1:4" x14ac:dyDescent="0.35">
      <c r="A21">
        <v>2007</v>
      </c>
      <c r="B21">
        <v>4.4387543069204698</v>
      </c>
      <c r="C21">
        <f t="shared" si="1"/>
        <v>1.0443875430692047</v>
      </c>
      <c r="D21">
        <f>PRODUCT(C21:C$32)</f>
        <v>1.3791343635062496</v>
      </c>
    </row>
    <row r="22" spans="1:4" x14ac:dyDescent="0.35">
      <c r="A22">
        <v>2008</v>
      </c>
      <c r="B22">
        <v>2.0008305118015501</v>
      </c>
      <c r="C22">
        <f t="shared" si="1"/>
        <v>1.0200083051180155</v>
      </c>
      <c r="D22">
        <f>PRODUCT(C22:C$32)</f>
        <v>1.3205197368146546</v>
      </c>
    </row>
    <row r="23" spans="1:4" x14ac:dyDescent="0.35">
      <c r="A23">
        <v>2009</v>
      </c>
      <c r="B23">
        <v>3.0372460282895588</v>
      </c>
      <c r="C23">
        <f t="shared" ref="C23:C33" si="2">1+B23/100</f>
        <v>1.0303724602828956</v>
      </c>
      <c r="D23">
        <f>PRODUCT(C23:C$32)</f>
        <v>1.2946166518338984</v>
      </c>
    </row>
    <row r="24" spans="1:4" x14ac:dyDescent="0.35">
      <c r="A24">
        <v>2010</v>
      </c>
      <c r="B24">
        <v>1.2606817972985453</v>
      </c>
      <c r="C24">
        <f t="shared" si="2"/>
        <v>1.0126068179729855</v>
      </c>
      <c r="D24">
        <f>PRODUCT(C24:C$32)</f>
        <v>1.2564550215933104</v>
      </c>
    </row>
    <row r="25" spans="1:4" x14ac:dyDescent="0.35">
      <c r="A25">
        <v>2011</v>
      </c>
      <c r="B25">
        <v>3.1378740857697807</v>
      </c>
      <c r="C25">
        <f t="shared" si="2"/>
        <v>1.0313787408576978</v>
      </c>
      <c r="D25">
        <f>PRODUCT(C25:C$32)</f>
        <v>1.2408123264550552</v>
      </c>
    </row>
    <row r="26" spans="1:4" x14ac:dyDescent="0.35">
      <c r="A26">
        <v>2012</v>
      </c>
      <c r="B26">
        <v>1.0100299137779416</v>
      </c>
      <c r="C26">
        <f t="shared" si="2"/>
        <v>1.0101002991377794</v>
      </c>
      <c r="D26">
        <f>PRODUCT(C26:C$32)</f>
        <v>1.2030617631532643</v>
      </c>
    </row>
    <row r="27" spans="1:4" x14ac:dyDescent="0.35">
      <c r="A27">
        <v>2013</v>
      </c>
      <c r="B27">
        <v>0.46860845934079975</v>
      </c>
      <c r="C27">
        <f t="shared" si="2"/>
        <v>1.004686084593408</v>
      </c>
      <c r="D27">
        <f>PRODUCT(C27:C$32)</f>
        <v>1.1910319838338792</v>
      </c>
    </row>
    <row r="28" spans="1:4" x14ac:dyDescent="0.35">
      <c r="A28">
        <v>2014</v>
      </c>
      <c r="B28">
        <v>3.1262462504117963</v>
      </c>
      <c r="C28">
        <f t="shared" si="2"/>
        <v>1.031262462504118</v>
      </c>
      <c r="D28">
        <f>PRODUCT(C28:C$32)</f>
        <v>1.1854767395488355</v>
      </c>
    </row>
    <row r="29" spans="1:4" x14ac:dyDescent="0.35">
      <c r="A29">
        <v>2015</v>
      </c>
      <c r="B29">
        <v>0.37157845181251048</v>
      </c>
      <c r="C29">
        <f t="shared" si="2"/>
        <v>1.003715784518125</v>
      </c>
      <c r="D29">
        <f>PRODUCT(C29:C$32)</f>
        <v>1.149539309973771</v>
      </c>
    </row>
    <row r="30" spans="1:4" x14ac:dyDescent="0.35">
      <c r="A30">
        <v>2016</v>
      </c>
      <c r="B30">
        <v>4.6886778230061736</v>
      </c>
      <c r="C30">
        <f t="shared" si="2"/>
        <v>1.0468867782300617</v>
      </c>
      <c r="D30">
        <f>PRODUCT(C30:C$32)</f>
        <v>1.1452836825971153</v>
      </c>
    </row>
    <row r="31" spans="1:4" x14ac:dyDescent="0.35">
      <c r="A31">
        <v>2017</v>
      </c>
      <c r="B31">
        <v>6.3156041986687228</v>
      </c>
      <c r="C31">
        <f t="shared" si="2"/>
        <v>1.0631560419866872</v>
      </c>
      <c r="D31">
        <f>PRODUCT(C31:C$32)</f>
        <v>1.0939900153609832</v>
      </c>
    </row>
    <row r="32" spans="1:4" x14ac:dyDescent="0.35">
      <c r="A32">
        <v>2018</v>
      </c>
      <c r="B32">
        <v>2.9002302725644569</v>
      </c>
      <c r="C32">
        <f t="shared" si="2"/>
        <v>1.0290023027256445</v>
      </c>
      <c r="D32">
        <f>PRODUCT(C32:C$32)</f>
        <v>1.0290023027256445</v>
      </c>
    </row>
    <row r="33" spans="1:4" x14ac:dyDescent="0.35">
      <c r="A33">
        <v>2019</v>
      </c>
      <c r="B33">
        <v>3.9125347374579462</v>
      </c>
      <c r="C33">
        <f t="shared" si="2"/>
        <v>1.0391253473745794</v>
      </c>
      <c r="D33">
        <v>1</v>
      </c>
    </row>
    <row r="34" spans="1:4" x14ac:dyDescent="0.35">
      <c r="C34">
        <f>AVERAGE(C16:C33)</f>
        <v>1.0306605998753282</v>
      </c>
    </row>
  </sheetData>
  <sortState xmlns:xlrd2="http://schemas.microsoft.com/office/spreadsheetml/2017/richdata2" ref="A4:I7">
    <sortCondition ref="E4:E7"/>
  </sortState>
  <hyperlinks>
    <hyperlink ref="N7" r:id="rId1" xr:uid="{E51AA8F7-D706-4E26-B6A5-2439EFD49C74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M. Snyder</dc:creator>
  <cp:lastModifiedBy>Sebastian Barungi Rugunda Quaade</cp:lastModifiedBy>
  <dcterms:created xsi:type="dcterms:W3CDTF">2022-06-06T14:21:07Z</dcterms:created>
  <dcterms:modified xsi:type="dcterms:W3CDTF">2024-10-16T13:30:59Z</dcterms:modified>
</cp:coreProperties>
</file>