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Validation" sheetId="2" r:id="rId5"/>
    <sheet state="visible" name="Updated numbers" sheetId="3" r:id="rId6"/>
    <sheet state="visible" name="Global GDP over time" sheetId="4" r:id="rId7"/>
    <sheet state="visible" name="Constants" sheetId="5" r:id="rId8"/>
    <sheet state="visible" name="US CPI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Should we update to our minimum threshold?
	-Sebastian Barungi Rugunda Quaade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Should also interpolate
	-Sebastian Barungi Rugunda Quaade</t>
      </text>
    </comment>
    <comment authorId="0" ref="C8">
      <text>
        <t xml:space="preserve">Marani et al. data says 1969, but paper for economic losses says 1970
	-Sebastian Barungi Rugunda Quaade</t>
      </text>
    </comment>
    <comment authorId="0" ref="H3">
      <text>
        <t xml:space="preserve">This is a guess since they don't document the reference year for their valuations
	-Sebastian Barungi Rugunda Quaade</t>
      </text>
    </comment>
    <comment authorId="0" ref="J6">
      <text>
        <t xml:space="preserve">Should actually interpolate to get this, but approximately right for now
	-Sebastian Barungi Rugunda Quaade</t>
      </text>
    </comment>
  </commentList>
</comments>
</file>

<file path=xl/sharedStrings.xml><?xml version="1.0" encoding="utf-8"?>
<sst xmlns="http://schemas.openxmlformats.org/spreadsheetml/2006/main" count="193" uniqueCount="75">
  <si>
    <r>
      <rPr/>
      <t xml:space="preserve">This spreadsheet summarizes:
1) my validation of the economic damage data inputs used in </t>
    </r>
    <r>
      <rPr>
        <color rgb="FF1155CC"/>
        <u/>
      </rPr>
      <t>Glennerster, Snyder and Tan (2023)</t>
    </r>
    <r>
      <rPr/>
      <t>. Original values are taken from the "economic harm projections 06" spreadsheet. Reported sources are found in Table I of the abovementioned paper.
2) My attempt at updating our economic damage inputs given my review of the sources. I then use the updated estimates to fit a model on SMUs and economic losses.
3) Global GDP and US CPI data that we use to estimate and normalize total GDP loss estimates.</t>
    </r>
  </si>
  <si>
    <t>Original values in Glennerster, Snyder, and Tan (2023)</t>
  </si>
  <si>
    <t>Notes</t>
  </si>
  <si>
    <t>Disease</t>
  </si>
  <si>
    <t>Start Date</t>
  </si>
  <si>
    <t>Emd Date</t>
  </si>
  <si>
    <t>Duration</t>
  </si>
  <si>
    <t>Mortality</t>
  </si>
  <si>
    <t>GDP Losses per Year (bil $)</t>
  </si>
  <si>
    <t>GDP proportional loss per year</t>
  </si>
  <si>
    <t>Mortality source</t>
  </si>
  <si>
    <t>Economic loss source</t>
  </si>
  <si>
    <t>Notes on values</t>
  </si>
  <si>
    <t>Zika</t>
  </si>
  <si>
    <t>Set at minimum detectable Marani et al. (2021) value</t>
  </si>
  <si>
    <t>UNDP report (offline)</t>
  </si>
  <si>
    <t>It looks like values have been taken from Table 2, Annex 8. I'm not sure where $15 billion annual economic loss number is from in the report.
I think percentage GDP numbers are expressed as a share of LAC and Caribbean GDP, not global.</t>
  </si>
  <si>
    <t>SARS</t>
  </si>
  <si>
    <r>
      <rPr>
        <rFont val="Calibri"/>
        <color rgb="FF1155CC"/>
        <sz val="11.0"/>
        <u/>
      </rPr>
      <t>Keogh-brown et al (2008)</t>
    </r>
  </si>
  <si>
    <t>Roughly sum of lower GPD loss values in Table 4</t>
  </si>
  <si>
    <t>Ebola</t>
  </si>
  <si>
    <t>CDC</t>
  </si>
  <si>
    <t>Huber, Finelli, and Stevens (2018)</t>
  </si>
  <si>
    <r>
      <rPr>
        <rFont val="Calibri"/>
        <color rgb="FF000000"/>
        <sz val="11.0"/>
      </rPr>
      <t xml:space="preserve">Ebola deaths are deaths directly attributable to infection; other sources use excess deaths. One </t>
    </r>
    <r>
      <rPr>
        <rFont val="Calibri"/>
        <color rgb="FF1155CC"/>
        <sz val="11.0"/>
        <u/>
      </rPr>
      <t>paper</t>
    </r>
    <r>
      <rPr>
        <rFont val="Calibri"/>
        <color rgb="FF000000"/>
        <sz val="11.0"/>
      </rPr>
      <t xml:space="preserve"> estimates excess deaths from other diseases.
Huber et al. paper reports $53 billion estimate -- maybe $72 billion is after adjusting for inflation?
$53 billion estimate also includes costs of mortality for other diseases, so this number seems inappropriate. We can subset to just economic losses.</t>
    </r>
  </si>
  <si>
    <t>Covid-19</t>
  </si>
  <si>
    <t>Economist global excess death model</t>
  </si>
  <si>
    <t>IMF 2022</t>
  </si>
  <si>
    <t>Economist may have slightly updated numbers, so we should update;
Can't find absolute or reported % GDP loss number in IMF reference (reported % GDP loss is 14.4%).
Also note that there is potentially an error in the proportional GDP loss (should be 14.4%/3 = 4.8%, not 14.4%/4 = 3.6%).</t>
  </si>
  <si>
    <t>1918 flu</t>
  </si>
  <si>
    <t>Patterson and Pyle (1991)</t>
  </si>
  <si>
    <t>Barro, Ursua, and Weng</t>
  </si>
  <si>
    <r>
      <rPr>
        <rFont val="Calibri"/>
        <color rgb="FF000000"/>
        <sz val="11.0"/>
      </rPr>
      <t xml:space="preserve">Other sources noted by </t>
    </r>
    <r>
      <rPr>
        <rFont val="Calibri"/>
        <color rgb="FF1155CC"/>
        <sz val="11.0"/>
        <u/>
      </rPr>
      <t>OWID</t>
    </r>
    <r>
      <rPr>
        <rFont val="Calibri"/>
        <color rgb="FF000000"/>
        <sz val="11.0"/>
      </rPr>
      <t xml:space="preserve"> have lower mortality estimates (~1/2);
Proportional GDP loss retrieved by dividing total %GDP loss by duration.</t>
    </r>
  </si>
  <si>
    <t>Mortality (SMU)</t>
  </si>
  <si>
    <t>Intensity (SMU)</t>
  </si>
  <si>
    <t>GDP loss year</t>
  </si>
  <si>
    <t>GDP loss valuation year</t>
  </si>
  <si>
    <t>Total GDP losses (valuation year value)</t>
  </si>
  <si>
    <t>Total GDP losses (reference year value, 2022 dollars)</t>
  </si>
  <si>
    <t>Fraction GDP losses</t>
  </si>
  <si>
    <t>Annual fraction GPD losses</t>
  </si>
  <si>
    <t>Other notes</t>
  </si>
  <si>
    <r>
      <rPr>
        <rFont val="Calibri"/>
        <color rgb="FF000000"/>
        <sz val="11.0"/>
      </rPr>
      <t xml:space="preserve">Global Burden of Disease Collaborative Network.
Global Burden of Disease Study 2021 (GBD 2021) Results.
Seattle, United States: Institute for Health Metrics and Evaluation (IHME), 2022.
Available from </t>
    </r>
    <r>
      <rPr>
        <rFont val="Calibri"/>
        <color rgb="FF1155CC"/>
        <sz val="11.0"/>
        <u/>
      </rPr>
      <t>https://vizhub.healthdata.org/gbd-results/.</t>
    </r>
  </si>
  <si>
    <t>Mortality loss: sum of global deaths per 100,000 for 2015, 16 and 17
Economic loss: takes lower economic estimate from Annex 2, table 8.</t>
  </si>
  <si>
    <t>Can maybe update to specific SMUs using Ganqi data. Should we still include given below SMU threshold?</t>
  </si>
  <si>
    <t>Marani et al. (2021) value</t>
  </si>
  <si>
    <r>
      <rPr>
        <rFont val="Calibri"/>
        <color rgb="FF1155CC"/>
        <sz val="11.0"/>
        <u/>
      </rPr>
      <t>Keogh-brown et al (2008)</t>
    </r>
  </si>
  <si>
    <t>Sum of lower GPD loss values in Table 4. Unclear denomination year</t>
  </si>
  <si>
    <t>Marani et al. (Ganqi note)</t>
  </si>
  <si>
    <t>Sums direct economics costs, treatment and screening costs, and cost of human resources deployment in Huber, Finelli, and Stevens. Multiplies by three to account for three year duration</t>
  </si>
  <si>
    <r>
      <rPr>
        <rFont val="Calibri"/>
        <color rgb="FF1155CC"/>
        <sz val="11.0"/>
        <u/>
      </rPr>
      <t>IMF 2022</t>
    </r>
    <r>
      <rPr>
        <rFont val="Calibri"/>
        <color rgb="FF000000"/>
        <sz val="11.0"/>
      </rPr>
      <t xml:space="preserve">, </t>
    </r>
    <r>
      <rPr>
        <rFont val="Calibri"/>
        <color rgb="FF1155CC"/>
        <sz val="11.0"/>
        <u/>
      </rPr>
      <t>Other IMF report</t>
    </r>
  </si>
  <si>
    <t>Total GDP loss value stated in Agarwal and Gopinath.</t>
  </si>
  <si>
    <r>
      <rPr>
        <rFont val="Calibri"/>
        <color rgb="FF000000"/>
        <sz val="11.0"/>
      </rPr>
      <t xml:space="preserve">Other sources noted by </t>
    </r>
    <r>
      <rPr>
        <rFont val="Calibri"/>
        <color rgb="FF1155CC"/>
        <sz val="11.0"/>
        <u/>
      </rPr>
      <t>OWID</t>
    </r>
    <r>
      <rPr>
        <rFont val="Calibri"/>
        <color rgb="FF000000"/>
        <sz val="11.0"/>
      </rPr>
      <t xml:space="preserve"> have lower mortality estimates (~1/2).</t>
    </r>
  </si>
  <si>
    <t>Asian flu</t>
  </si>
  <si>
    <t>Hong kong flu</t>
  </si>
  <si>
    <t>Jinjarak et al. (2022)</t>
  </si>
  <si>
    <t>Swine flu</t>
  </si>
  <si>
    <t>Entity</t>
  </si>
  <si>
    <t>Code</t>
  </si>
  <si>
    <t>Year</t>
  </si>
  <si>
    <t>GDP (raw data)</t>
  </si>
  <si>
    <t>GDP (2022 valuation)</t>
  </si>
  <si>
    <t>Source</t>
  </si>
  <si>
    <t>World</t>
  </si>
  <si>
    <t>OWID_WRL</t>
  </si>
  <si>
    <t>Our World in Data</t>
  </si>
  <si>
    <t>Expressed in 2017 International $</t>
  </si>
  <si>
    <t>Reference year value</t>
  </si>
  <si>
    <t>Project reference year</t>
  </si>
  <si>
    <t>Raw</t>
  </si>
  <si>
    <t>Constructed</t>
  </si>
  <si>
    <t>CPI (Urban)</t>
  </si>
  <si>
    <t>Avg percent change (inflation)</t>
  </si>
  <si>
    <t>Deflator</t>
  </si>
  <si>
    <t>Minneapolis Fed</t>
  </si>
  <si>
    <t xml:space="preserve">Deflator reference year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</si>
</sst>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4">
    <font>
      <sz val="10.0"/>
      <color rgb="FF000000"/>
      <name val="Arial"/>
      <scheme val="minor"/>
    </font>
    <font>
      <u/>
      <color rgb="FF0000FF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5" numFmtId="0" xfId="0" applyFont="1"/>
    <xf borderId="0" fillId="0" fontId="4" numFmtId="11" xfId="0" applyAlignment="1" applyFont="1" applyNumberFormat="1">
      <alignment horizontal="right" readingOrder="0" shrinkToFit="0" vertical="bottom" wrapText="0"/>
    </xf>
    <xf borderId="0" fillId="0" fontId="5" numFmtId="10" xfId="0" applyFont="1" applyNumberFormat="1"/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5" numFmtId="10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0" numFmtId="0" xfId="0" applyAlignment="1" applyFont="1">
      <alignment horizontal="right" readingOrder="0" shrinkToFit="0" vertical="bottom" wrapText="0"/>
    </xf>
    <xf borderId="0" fillId="0" fontId="10" numFmtId="11" xfId="0" applyAlignment="1" applyFont="1" applyNumberFormat="1">
      <alignment horizontal="right" readingOrder="0" shrinkToFit="0" vertical="bottom" wrapText="0"/>
    </xf>
    <xf borderId="0" fillId="0" fontId="3" numFmtId="11" xfId="0" applyFont="1" applyNumberFormat="1"/>
    <xf borderId="0" fillId="0" fontId="1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Severity against % GDP loss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60000"/>
                  </a:srgbClr>
                </a:solidFill>
              </a:ln>
            </c:spPr>
            <c:trendlineType val="exp"/>
            <c:dispRSqr val="1"/>
            <c:dispEq val="1"/>
          </c:trendline>
          <c:xVal>
            <c:numRef>
              <c:f>'Updated numbers'!$F$1:$F$9</c:f>
            </c:numRef>
          </c:xVal>
          <c:yVal>
            <c:numRef>
              <c:f>'Updated numbers'!$L$1:$L$9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745231"/>
        <c:axId val="303530121"/>
      </c:scatterChart>
      <c:valAx>
        <c:axId val="15437452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SMU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3530121"/>
      </c:valAx>
      <c:valAx>
        <c:axId val="303530121"/>
        <c:scaling>
          <c:orientation val="minMax"/>
          <c:max val="0.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GDP 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745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10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ber.org/system/files/working_papers/w30565/w30565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ncbi.nlm.nih.gov/pmc/articles/PMC7114672/" TargetMode="External"/><Relationship Id="rId3" Type="http://schemas.openxmlformats.org/officeDocument/2006/relationships/hyperlink" Target="https://www.cdc.gov/mmwr/volumes/65/su/su6503a2.htm" TargetMode="External"/><Relationship Id="rId4" Type="http://schemas.openxmlformats.org/officeDocument/2006/relationships/hyperlink" Target="https://watermark.silverchair.com/jiy213.pdf?token=AQECAHi208BE49Ooan9kkhW_Ercy7Dm3ZL_9Cf3qfKAc485ysgAAA3swggN3BgkqhkiG9w0BBwagggNoMIIDZAIBADCCA10GCSqGSIb3DQEHATAeBglghkgBZQMEAS4wEQQM2LEWjZ3cZaQDd9BWAgEQgIIDLg55K9KUaViRzM0rQL8PlGYMELMZZkG2zYgYP4mT388AtIOlW62O8s4g9MRiFQ_cksoBYcprtFbAvdr84zZpLuDHdYYdtrIs_EUQol0HT4ll7dFzHSHsr6xdqXDaZYGshSdc_dPMv72_-dOZSax46_2MtcW-xOLcj8g1J72GkJ4CqIeH_4t9jD8rXjiIN2HaqFLcO6dM1Pfm1KZMja2Xs1BoJLNB3bl0Gv4fivvnqciYVy2scK5FvjFUq49-NR-ZF4ZGdSaMY4NAUfTLYFRJI1cZDEKUZr1rYaIqghB8AA230kqQ8EAYsGa_pajiB3Z3NtyyhSUu-ZYU6hgD6K0WM_7ylubm8yabFFvxMNflq3BvS66OhISEsxosr4RfHmVNRdJ9LcWEEO1LLpVOtp82WikIcVq8pAG2PqQclNIiLpqcosZmih_mIhv9-c3u4TvQw-BKLFsrefSrWXXGX0Tx8w0ddM99tqx0-JUzvPhZdmyBiXH4PxTu4QGY6jyDb_hTjGBs_76QTr6HvUTGQgD0ZcHQxt4sCr5IIjRQKBhoatp2EZ13K4CM5yhzpHx2IwqeFHZbHYhWEoT42jT_MgL_zCIqF-_N1HXoS9MDLB7MIsT6_VdXJXam10TZ1S3bQ0aAyO8OStkJsPF5FuTG7e0kQ-i-Mqt51ZwbP_uqqiYkOL5UUb7gTZnbVUh3AQgDSJHOmbpd_4_i5mXNLA2-U8agjqGt2LFamHneJ676Ky8qYvmZxZAK8p0JmUD9hVoZG2XIHoYYNddkYwv87ZpYZH6aDWGkL0R9ijMwcyoVQmEXxypYI8dDO65DUNhdMHJQCoN4uX09cftNzduyKpv2w3aqFHYJAvBbm4vrYLYLJwWag491NHAsGcpgflXZ-bJgbYgk9ifRDjQwwX5al-RF03TUrmF1nsxVgUOGn1O7bmyna6MMQPzbMbMkjwQXgduVH-4x6LQoeZ99sUnV27jrk2VUHu6cu3o3PVhc3-S5PRRFU6ImydipCWy6zB89armirAPi0vtZNh_ahBoAoqN8TVlf9Fxqna0wf4WZF-8upY-0JM7az7FBzmjZm2coKFTtAT8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2.xml"/><Relationship Id="rId9" Type="http://schemas.openxmlformats.org/officeDocument/2006/relationships/hyperlink" Target="https://ourworldindata.org/spanish-flu-largest-influenza-pandemic-in-history" TargetMode="External"/><Relationship Id="rId5" Type="http://schemas.openxmlformats.org/officeDocument/2006/relationships/hyperlink" Target="https://www.ncbi.nlm.nih.gov/pmc/articles/PMC4766886/" TargetMode="External"/><Relationship Id="rId6" Type="http://schemas.openxmlformats.org/officeDocument/2006/relationships/hyperlink" Target="https://github.com/TheEconomist/covid-19-the-economist-global-excess-deaths-model" TargetMode="External"/><Relationship Id="rId7" Type="http://schemas.openxmlformats.org/officeDocument/2006/relationships/hyperlink" Target="https://www.imf.org/en/Publications/WEO/Issues/2022/01/25/world-economic-outlook-update-january-2022" TargetMode="External"/><Relationship Id="rId8" Type="http://schemas.openxmlformats.org/officeDocument/2006/relationships/hyperlink" Target="https://www.nber.org/system/files/working_papers/w26866/w26866.pd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vizhub.healthdata.org/gbd-results/" TargetMode="External"/><Relationship Id="rId3" Type="http://schemas.openxmlformats.org/officeDocument/2006/relationships/hyperlink" Target="https://www.ncbi.nlm.nih.gov/pmc/articles/PMC7114672/" TargetMode="External"/><Relationship Id="rId4" Type="http://schemas.openxmlformats.org/officeDocument/2006/relationships/hyperlink" Target="https://watermark.silverchair.com/jiy213.pdf?token=AQECAHi208BE49Ooan9kkhW_Ercy7Dm3ZL_9Cf3qfKAc485ysgAAA3swggN3BgkqhkiG9w0BBwagggNoMIIDZAIBADCCA10GCSqGSIb3DQEHATAeBglghkgBZQMEAS4wEQQM2LEWjZ3cZaQDd9BWAgEQgIIDLg55K9KUaViRzM0rQL8PlGYMELMZZkG2zYgYP4mT388AtIOlW62O8s4g9MRiFQ_cksoBYcprtFbAvdr84zZpLuDHdYYdtrIs_EUQol0HT4ll7dFzHSHsr6xdqXDaZYGshSdc_dPMv72_-dOZSax46_2MtcW-xOLcj8g1J72GkJ4CqIeH_4t9jD8rXjiIN2HaqFLcO6dM1Pfm1KZMja2Xs1BoJLNB3bl0Gv4fivvnqciYVy2scK5FvjFUq49-NR-ZF4ZGdSaMY4NAUfTLYFRJI1cZDEKUZr1rYaIqghB8AA230kqQ8EAYsGa_pajiB3Z3NtyyhSUu-ZYU6hgD6K0WM_7ylubm8yabFFvxMNflq3BvS66OhISEsxosr4RfHmVNRdJ9LcWEEO1LLpVOtp82WikIcVq8pAG2PqQclNIiLpqcosZmih_mIhv9-c3u4TvQw-BKLFsrefSrWXXGX0Tx8w0ddM99tqx0-JUzvPhZdmyBiXH4PxTu4QGY6jyDb_hTjGBs_76QTr6HvUTGQgD0ZcHQxt4sCr5IIjRQKBhoatp2EZ13K4CM5yhzpHx2IwqeFHZbHYhWEoT42jT_MgL_zCIqF-_N1HXoS9MDLB7MIsT6_VdXJXam10TZ1S3bQ0aAyO8OStkJsPF5FuTG7e0kQ-i-Mqt51ZwbP_uqqiYkOL5UUb7gTZnbVUh3AQgDSJHOmbpd_4_i5mXNLA2-U8agjqGt2LFamHneJ676Ky8qYvmZxZAK8p0JmUD9hVoZG2XIHoYYNddkYwv87ZpYZH6aDWGkL0R9ijMwcyoVQmEXxypYI8dDO65DUNhdMHJQCoN4uX09cftNzduyKpv2w3aqFHYJAvBbm4vrYLYLJwWag491NHAsGcpgflXZ-bJgbYgk9ifRDjQwwX5al-RF03TUrmF1nsxVgUOGn1O7bmyna6MMQPzbMbMkjwQXgduVH-4x6LQoeZ99sUnV27jrk2VUHu6cu3o3PVhc3-S5PRRFU6ImydipCWy6zB89armirAPi0vtZNh_ahBoAoqN8TVlf9Fxqna0wf4WZF-8upY-0JM7az7FBzmjZm2coKFTtAT8" TargetMode="External"/><Relationship Id="rId11" Type="http://schemas.openxmlformats.org/officeDocument/2006/relationships/vmlDrawing" Target="../drawings/vmlDrawing2.vml"/><Relationship Id="rId10" Type="http://schemas.openxmlformats.org/officeDocument/2006/relationships/drawing" Target="../drawings/drawing3.xml"/><Relationship Id="rId9" Type="http://schemas.openxmlformats.org/officeDocument/2006/relationships/hyperlink" Target="https://www.ncbi.nlm.nih.gov/pmc/articles/PMC8507505/" TargetMode="External"/><Relationship Id="rId5" Type="http://schemas.openxmlformats.org/officeDocument/2006/relationships/hyperlink" Target="https://github.com/TheEconomist/covid-19-the-economist-global-excess-deaths-model" TargetMode="External"/><Relationship Id="rId6" Type="http://schemas.openxmlformats.org/officeDocument/2006/relationships/hyperlink" Target="https://www.imf.org/en/Publications/WEO/Issues/2022/01/25/world-economic-outlook-update-january-2022" TargetMode="External"/><Relationship Id="rId7" Type="http://schemas.openxmlformats.org/officeDocument/2006/relationships/hyperlink" Target="https://www.nber.org/system/files/working_papers/w26866/w26866.pdf" TargetMode="External"/><Relationship Id="rId8" Type="http://schemas.openxmlformats.org/officeDocument/2006/relationships/hyperlink" Target="https://ourworldindata.org/spanish-flu-largest-influenza-pandemic-in-history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urworldindata.org/grapher/global-gdp-over-the-long-run?time=1900..latest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nneapolisfed.org/about-us/monetary-policy/inflation-calculator/consumer-price-index-1913-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mergeCells count="1">
    <mergeCell ref="A1:G1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6" max="6" width="16.75"/>
    <col customWidth="1" min="7" max="7" width="21.75"/>
    <col customWidth="1" min="8" max="8" width="21.88"/>
    <col customWidth="1" min="9" max="9" width="16.0"/>
    <col customWidth="1" min="10" max="10" width="38.63"/>
  </cols>
  <sheetData>
    <row r="1">
      <c r="A1" s="2" t="s">
        <v>1</v>
      </c>
      <c r="H1" s="2" t="s">
        <v>2</v>
      </c>
    </row>
    <row r="2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 t="s">
        <v>13</v>
      </c>
      <c r="B3" s="6">
        <v>2015.0</v>
      </c>
      <c r="C3" s="6">
        <v>2017.0</v>
      </c>
      <c r="D3" s="6">
        <v>3.0</v>
      </c>
      <c r="E3" s="6">
        <v>1000.0</v>
      </c>
      <c r="F3" s="6">
        <v>15.0</v>
      </c>
      <c r="G3" s="6">
        <v>1.67E-4</v>
      </c>
      <c r="H3" s="7" t="s">
        <v>14</v>
      </c>
      <c r="I3" s="8" t="s">
        <v>15</v>
      </c>
      <c r="J3" s="7" t="s">
        <v>16</v>
      </c>
    </row>
    <row r="4">
      <c r="A4" s="5" t="s">
        <v>17</v>
      </c>
      <c r="B4" s="6">
        <v>2002.0</v>
      </c>
      <c r="C4" s="6">
        <v>2003.0</v>
      </c>
      <c r="D4" s="6">
        <v>2.0</v>
      </c>
      <c r="E4" s="6">
        <v>1000.0</v>
      </c>
      <c r="F4" s="6">
        <v>11.0</v>
      </c>
      <c r="G4" s="6">
        <v>2.5E-4</v>
      </c>
      <c r="H4" s="7" t="s">
        <v>14</v>
      </c>
      <c r="I4" s="9" t="s">
        <v>18</v>
      </c>
      <c r="J4" s="7" t="s">
        <v>19</v>
      </c>
    </row>
    <row r="5">
      <c r="A5" s="5" t="s">
        <v>20</v>
      </c>
      <c r="B5" s="6">
        <v>2014.0</v>
      </c>
      <c r="C5" s="6">
        <v>2014.0</v>
      </c>
      <c r="D5" s="6">
        <v>1.0</v>
      </c>
      <c r="E5" s="6">
        <v>11325.0</v>
      </c>
      <c r="F5" s="6">
        <v>72.0</v>
      </c>
      <c r="G5" s="6">
        <v>8.3E-4</v>
      </c>
      <c r="H5" s="10" t="s">
        <v>21</v>
      </c>
      <c r="I5" s="10" t="s">
        <v>22</v>
      </c>
      <c r="J5" s="11" t="s">
        <v>23</v>
      </c>
    </row>
    <row r="6">
      <c r="A6" s="5" t="s">
        <v>24</v>
      </c>
      <c r="B6" s="6">
        <v>2020.0</v>
      </c>
      <c r="C6" s="6">
        <v>2022.0</v>
      </c>
      <c r="D6" s="6">
        <v>3.0</v>
      </c>
      <c r="E6" s="6">
        <v>2.13E7</v>
      </c>
      <c r="F6" s="6">
        <v>3151.0</v>
      </c>
      <c r="G6" s="6">
        <v>0.036</v>
      </c>
      <c r="H6" s="10" t="s">
        <v>25</v>
      </c>
      <c r="I6" s="10" t="s">
        <v>26</v>
      </c>
      <c r="J6" s="7" t="s">
        <v>27</v>
      </c>
    </row>
    <row r="7">
      <c r="A7" s="5" t="s">
        <v>28</v>
      </c>
      <c r="B7" s="6">
        <v>1918.0</v>
      </c>
      <c r="C7" s="6">
        <v>1920.0</v>
      </c>
      <c r="D7" s="6">
        <v>3.0</v>
      </c>
      <c r="E7" s="6">
        <v>3.2E7</v>
      </c>
      <c r="F7" s="6">
        <v>1751.0</v>
      </c>
      <c r="G7" s="6">
        <v>0.02</v>
      </c>
      <c r="H7" s="5" t="s">
        <v>29</v>
      </c>
      <c r="I7" s="10" t="s">
        <v>30</v>
      </c>
      <c r="J7" s="12" t="s">
        <v>31</v>
      </c>
    </row>
  </sheetData>
  <mergeCells count="2">
    <mergeCell ref="A1:G1"/>
    <mergeCell ref="H1:J1"/>
  </mergeCells>
  <hyperlinks>
    <hyperlink r:id="rId2" ref="I4"/>
    <hyperlink r:id="rId3" ref="H5"/>
    <hyperlink r:id="rId4" ref="I5"/>
    <hyperlink r:id="rId5" ref="J5"/>
    <hyperlink r:id="rId6" ref="H6"/>
    <hyperlink r:id="rId7" ref="I6"/>
    <hyperlink r:id="rId8" ref="I7"/>
    <hyperlink r:id="rId9" ref="J7"/>
  </hyperlinks>
  <drawing r:id="rId10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13"/>
    <col customWidth="1" min="7" max="9" width="21.63"/>
    <col customWidth="1" min="10" max="10" width="18.75"/>
    <col customWidth="1" min="11" max="11" width="18.38"/>
    <col customWidth="1" min="12" max="13" width="16.5"/>
    <col customWidth="1" min="14" max="14" width="38.5"/>
    <col customWidth="1" min="15" max="15" width="18.88"/>
    <col customWidth="1" min="16" max="16" width="33.0"/>
    <col customWidth="1" min="17" max="17" width="30.13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10</v>
      </c>
      <c r="O1" s="3" t="s">
        <v>11</v>
      </c>
      <c r="P1" s="3" t="s">
        <v>12</v>
      </c>
      <c r="Q1" s="13" t="s">
        <v>40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13</v>
      </c>
      <c r="B2" s="6">
        <v>2015.0</v>
      </c>
      <c r="C2" s="6">
        <v>2017.0</v>
      </c>
      <c r="D2" s="14">
        <f t="shared" ref="D2:D6" si="1">C2-B2+1</f>
        <v>3</v>
      </c>
      <c r="E2" s="6"/>
      <c r="F2" s="15">
        <v>5.59913E-5</v>
      </c>
      <c r="G2" s="15">
        <f t="shared" ref="G2:G6" si="2">F2/D2</f>
        <v>0.00001866376667</v>
      </c>
      <c r="H2" s="6">
        <v>2015.0</v>
      </c>
      <c r="I2" s="6">
        <v>2015.0</v>
      </c>
      <c r="J2" s="6">
        <f>7*1000000000</f>
        <v>7000000000</v>
      </c>
      <c r="K2" s="6">
        <f>J2*(VLOOKUP(Constants!$B$1,'US CPI'!$A$2:$B$114,2,FALSE)/VLOOKUP(I2,'US CPI'!$A$2:$B$114,2,FALSE))</f>
        <v>8645147679</v>
      </c>
      <c r="L2" s="16">
        <f>K2/VLOOKUP(H2,'Global GDP over time'!$C$1:$E$49,3,FALSE)</f>
        <v>0.0000635021097</v>
      </c>
      <c r="M2" s="16">
        <f t="shared" ref="M2:M6" si="3">L2/D2</f>
        <v>0.0000211673699</v>
      </c>
      <c r="N2" s="11" t="s">
        <v>41</v>
      </c>
      <c r="O2" s="8" t="s">
        <v>15</v>
      </c>
      <c r="P2" s="7" t="s">
        <v>42</v>
      </c>
      <c r="Q2" s="13" t="s">
        <v>43</v>
      </c>
    </row>
    <row r="3">
      <c r="A3" s="5" t="s">
        <v>17</v>
      </c>
      <c r="B3" s="6">
        <v>2002.0</v>
      </c>
      <c r="C3" s="6">
        <v>2003.0</v>
      </c>
      <c r="D3" s="14">
        <f t="shared" si="1"/>
        <v>2</v>
      </c>
      <c r="E3" s="6"/>
      <c r="F3" s="17">
        <v>0.00116592761933782</v>
      </c>
      <c r="G3" s="6">
        <f t="shared" si="2"/>
        <v>0.0005829638097</v>
      </c>
      <c r="H3" s="6">
        <v>2005.0</v>
      </c>
      <c r="I3" s="6">
        <v>2005.0</v>
      </c>
      <c r="J3" s="6">
        <f>11.8*1000000000</f>
        <v>11800000000</v>
      </c>
      <c r="K3" s="6">
        <f>J3*(VLOOKUP(Constants!$B$1,'US CPI'!$A$2:$B$114,2,FALSE)/VLOOKUP(I3,'US CPI'!$A$2:$B$114,2,FALSE))</f>
        <v>17684895033</v>
      </c>
      <c r="L3" s="16">
        <f>K3/VLOOKUP(H3,'Global GDP over time'!$C$1:$E$49,3,FALSE)</f>
        <v>0.0001808169642</v>
      </c>
      <c r="M3" s="16">
        <f t="shared" si="3"/>
        <v>0.00009040848211</v>
      </c>
      <c r="N3" s="7" t="s">
        <v>44</v>
      </c>
      <c r="O3" s="9" t="s">
        <v>45</v>
      </c>
      <c r="P3" s="7" t="s">
        <v>46</v>
      </c>
      <c r="Q3" s="13"/>
    </row>
    <row r="4">
      <c r="A4" s="5" t="s">
        <v>20</v>
      </c>
      <c r="B4" s="6">
        <v>2013.0</v>
      </c>
      <c r="C4" s="6">
        <v>2016.0</v>
      </c>
      <c r="D4" s="14">
        <f t="shared" si="1"/>
        <v>4</v>
      </c>
      <c r="E4" s="6">
        <v>11325.0</v>
      </c>
      <c r="F4" s="6">
        <v>0.0157</v>
      </c>
      <c r="G4" s="6">
        <f t="shared" si="2"/>
        <v>0.003925</v>
      </c>
      <c r="H4" s="6">
        <v>2014.0</v>
      </c>
      <c r="I4" s="6">
        <v>2014.0</v>
      </c>
      <c r="J4" s="6">
        <f>15.67*3*1000000000</f>
        <v>47010000000</v>
      </c>
      <c r="K4" s="6">
        <f>J4*(VLOOKUP(Constants!$B$1,'US CPI'!$A$2:$B$114,2,FALSE)/VLOOKUP(I4,'US CPI'!$A$2:$B$114,2,FALSE))</f>
        <v>58131926489</v>
      </c>
      <c r="L4" s="16">
        <f>K4/VLOOKUP(H4,'Global GDP over time'!$C$1:$E$49,3,FALSE)</f>
        <v>0.0004385431439</v>
      </c>
      <c r="M4" s="16">
        <f t="shared" si="3"/>
        <v>0.000109635786</v>
      </c>
      <c r="N4" s="18" t="s">
        <v>47</v>
      </c>
      <c r="O4" s="10" t="s">
        <v>22</v>
      </c>
      <c r="P4" s="19" t="s">
        <v>48</v>
      </c>
      <c r="Q4" s="14"/>
    </row>
    <row r="5">
      <c r="A5" s="5" t="s">
        <v>24</v>
      </c>
      <c r="B5" s="6">
        <v>2020.0</v>
      </c>
      <c r="C5" s="6">
        <v>2024.0</v>
      </c>
      <c r="D5" s="14">
        <f t="shared" si="1"/>
        <v>5</v>
      </c>
      <c r="E5" s="6">
        <v>2.13E7</v>
      </c>
      <c r="F5" s="6">
        <v>4.59</v>
      </c>
      <c r="G5" s="6">
        <f t="shared" si="2"/>
        <v>0.918</v>
      </c>
      <c r="H5" s="6">
        <v>2019.0</v>
      </c>
      <c r="I5" s="6">
        <v>2019.0</v>
      </c>
      <c r="J5" s="6">
        <f>13800000000000</f>
        <v>13800000000000</v>
      </c>
      <c r="K5" s="6">
        <f>J5*(VLOOKUP(Constants!$B$1,'US CPI'!$A$2:$B$114,2,FALSE)/VLOOKUP(I5,'US CPI'!$A$2:$B$114,2,FALSE))</f>
        <v>15796871333594</v>
      </c>
      <c r="L5" s="16">
        <f>K5/VLOOKUP(H5,'Global GDP over time'!$C$1:$E$49,3,FALSE)</f>
        <v>0.1009765141</v>
      </c>
      <c r="M5" s="16">
        <f t="shared" si="3"/>
        <v>0.02019530282</v>
      </c>
      <c r="N5" s="10" t="s">
        <v>25</v>
      </c>
      <c r="O5" s="10" t="s">
        <v>49</v>
      </c>
      <c r="P5" s="7" t="s">
        <v>50</v>
      </c>
      <c r="Q5" s="14"/>
    </row>
    <row r="6">
      <c r="A6" s="5" t="s">
        <v>28</v>
      </c>
      <c r="B6" s="6">
        <v>1918.0</v>
      </c>
      <c r="C6" s="6">
        <v>1920.0</v>
      </c>
      <c r="D6" s="14">
        <f t="shared" si="1"/>
        <v>3</v>
      </c>
      <c r="E6" s="6">
        <v>3.2E7</v>
      </c>
      <c r="F6" s="6">
        <v>171.0</v>
      </c>
      <c r="G6" s="6">
        <f t="shared" si="2"/>
        <v>57</v>
      </c>
      <c r="H6" s="6">
        <v>1917.0</v>
      </c>
      <c r="I6" s="6">
        <f>Constants!$B$1</f>
        <v>2022</v>
      </c>
      <c r="J6" s="15">
        <f>L6*VLOOKUP(H6, 'Global GDP over time'!$C$1:$E$49,3,TRUE)</f>
        <v>300223500612</v>
      </c>
      <c r="K6" s="15">
        <f>J6*(VLOOKUP(Constants!$B$1,'US CPI'!$A$2:$B$114,2,FALSE)/VLOOKUP(I6,'US CPI'!$A$2:$B$114,2,FALSE))</f>
        <v>300223500612</v>
      </c>
      <c r="L6" s="20">
        <v>0.06</v>
      </c>
      <c r="M6" s="16">
        <f t="shared" si="3"/>
        <v>0.02</v>
      </c>
      <c r="N6" s="5" t="s">
        <v>29</v>
      </c>
      <c r="O6" s="10" t="s">
        <v>30</v>
      </c>
      <c r="P6" s="12" t="s">
        <v>51</v>
      </c>
      <c r="Q6" s="14"/>
    </row>
    <row r="7">
      <c r="A7" s="8" t="s">
        <v>52</v>
      </c>
      <c r="B7" s="14"/>
      <c r="C7" s="14"/>
      <c r="D7" s="14"/>
      <c r="E7" s="14"/>
      <c r="F7" s="14"/>
      <c r="G7" s="6"/>
      <c r="H7" s="6"/>
      <c r="I7" s="6"/>
      <c r="J7" s="6"/>
      <c r="K7" s="6"/>
      <c r="L7" s="16"/>
      <c r="M7" s="16"/>
      <c r="N7" s="14"/>
      <c r="P7" s="14"/>
      <c r="Q7" s="14"/>
    </row>
    <row r="8">
      <c r="A8" s="8" t="s">
        <v>53</v>
      </c>
      <c r="B8" s="8">
        <v>1968.0</v>
      </c>
      <c r="C8" s="8">
        <v>1970.0</v>
      </c>
      <c r="D8" s="14">
        <f>C8-B8+1</f>
        <v>3</v>
      </c>
      <c r="E8" s="14"/>
      <c r="F8" s="8">
        <v>2.82</v>
      </c>
      <c r="G8" s="6">
        <f>F8/D8</f>
        <v>0.94</v>
      </c>
      <c r="H8" s="6">
        <f>'Global GDP over time'!$I$4</f>
        <v>2017</v>
      </c>
      <c r="I8" s="6">
        <f>Constants!$B$1</f>
        <v>2022</v>
      </c>
      <c r="J8" s="15">
        <f>L8*VLOOKUP(H8, 'Global GDP over time'!$C$1:$E$49,3,TRUE)</f>
        <v>3525297429621</v>
      </c>
      <c r="K8" s="15">
        <f>J8*(VLOOKUP(Constants!$B$1,'US CPI'!$A$2:$B$114,2,FALSE)/VLOOKUP(I8,'US CPI'!$A$2:$B$114,2,FALSE))</f>
        <v>3525297429621</v>
      </c>
      <c r="L8" s="20">
        <v>0.024</v>
      </c>
      <c r="M8" s="16">
        <f>L8/D8</f>
        <v>0.008</v>
      </c>
      <c r="N8" s="8" t="s">
        <v>47</v>
      </c>
      <c r="O8" s="21" t="s">
        <v>54</v>
      </c>
      <c r="P8" s="14"/>
      <c r="Q8" s="14"/>
    </row>
    <row r="9">
      <c r="A9" s="8" t="s">
        <v>55</v>
      </c>
      <c r="B9" s="14"/>
      <c r="C9" s="14"/>
      <c r="D9" s="14"/>
      <c r="E9" s="14"/>
      <c r="F9" s="14"/>
      <c r="G9" s="6"/>
      <c r="H9" s="14"/>
      <c r="I9" s="14"/>
      <c r="J9" s="14"/>
      <c r="K9" s="14"/>
      <c r="L9" s="14"/>
      <c r="M9" s="16"/>
      <c r="N9" s="14"/>
      <c r="O9" s="14"/>
      <c r="P9" s="14"/>
      <c r="Q9" s="14"/>
    </row>
  </sheetData>
  <hyperlinks>
    <hyperlink r:id="rId2" ref="N2"/>
    <hyperlink r:id="rId3" ref="O3"/>
    <hyperlink r:id="rId4" ref="O4"/>
    <hyperlink r:id="rId5" ref="N5"/>
    <hyperlink r:id="rId6" ref="O5"/>
    <hyperlink r:id="rId7" ref="O6"/>
    <hyperlink r:id="rId8" ref="P6"/>
    <hyperlink r:id="rId9" ref="O8"/>
  </hyperlinks>
  <drawing r:id="rId10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75"/>
    <col customWidth="1" min="5" max="5" width="20.38"/>
  </cols>
  <sheetData>
    <row r="1">
      <c r="A1" s="22" t="s">
        <v>56</v>
      </c>
      <c r="B1" s="22" t="s">
        <v>57</v>
      </c>
      <c r="C1" s="22" t="s">
        <v>58</v>
      </c>
      <c r="D1" s="23" t="s">
        <v>59</v>
      </c>
      <c r="E1" s="24" t="s">
        <v>60</v>
      </c>
      <c r="H1" s="25" t="s">
        <v>61</v>
      </c>
      <c r="I1" s="24" t="s">
        <v>2</v>
      </c>
    </row>
    <row r="2">
      <c r="A2" s="22" t="s">
        <v>62</v>
      </c>
      <c r="B2" s="22" t="s">
        <v>63</v>
      </c>
      <c r="C2" s="26">
        <v>1.0</v>
      </c>
      <c r="D2" s="27">
        <v>2.13E11</v>
      </c>
      <c r="E2" s="28">
        <f>D2*(VLOOKUP(Constants!$B$1,'US CPI'!$A$3:$B$114,2,FALSE)/VLOOKUP($I$4,'US CPI'!$A$3:$B$114,2,FALSE))</f>
        <v>254365973072</v>
      </c>
      <c r="H2" s="29" t="s">
        <v>64</v>
      </c>
      <c r="I2" s="24" t="s">
        <v>65</v>
      </c>
    </row>
    <row r="3">
      <c r="A3" s="22" t="s">
        <v>62</v>
      </c>
      <c r="B3" s="22" t="s">
        <v>63</v>
      </c>
      <c r="C3" s="26">
        <v>1000.0</v>
      </c>
      <c r="D3" s="27">
        <v>2.46E11</v>
      </c>
      <c r="E3" s="28">
        <f>D3*(VLOOKUP(Constants!$B$1,'US CPI'!$A$3:$B$114,2,FALSE)/VLOOKUP($I$4,'US CPI'!$A$3:$B$114,2,FALSE))</f>
        <v>293774785802</v>
      </c>
    </row>
    <row r="4">
      <c r="A4" s="22" t="s">
        <v>62</v>
      </c>
      <c r="B4" s="22" t="s">
        <v>63</v>
      </c>
      <c r="C4" s="26">
        <v>1500.0</v>
      </c>
      <c r="D4" s="27">
        <v>5.03E11</v>
      </c>
      <c r="E4" s="28">
        <f>D4*(VLOOKUP(Constants!$B$1,'US CPI'!$A$3:$B$114,2,FALSE)/VLOOKUP($I$4,'US CPI'!$A$3:$B$114,2,FALSE))</f>
        <v>600685842513</v>
      </c>
      <c r="H4" s="24" t="s">
        <v>66</v>
      </c>
      <c r="I4" s="24">
        <v>2017.0</v>
      </c>
    </row>
    <row r="5">
      <c r="A5" s="22" t="s">
        <v>62</v>
      </c>
      <c r="B5" s="22" t="s">
        <v>63</v>
      </c>
      <c r="C5" s="26">
        <v>1600.0</v>
      </c>
      <c r="D5" s="27">
        <v>6.71E11</v>
      </c>
      <c r="E5" s="28">
        <f>D5*(VLOOKUP(Constants!$B$1,'US CPI'!$A$3:$B$114,2,FALSE)/VLOOKUP($I$4,'US CPI'!$A$3:$B$114,2,FALSE))</f>
        <v>801312525500</v>
      </c>
    </row>
    <row r="6">
      <c r="A6" s="22" t="s">
        <v>62</v>
      </c>
      <c r="B6" s="22" t="s">
        <v>63</v>
      </c>
      <c r="C6" s="26">
        <v>1700.0</v>
      </c>
      <c r="D6" s="27">
        <v>7.52E11</v>
      </c>
      <c r="E6" s="28">
        <f>D6*(VLOOKUP(Constants!$B$1,'US CPI'!$A$3:$B$114,2,FALSE)/VLOOKUP($I$4,'US CPI'!$A$3:$B$114,2,FALSE))</f>
        <v>898043247654</v>
      </c>
    </row>
    <row r="7">
      <c r="A7" s="22" t="s">
        <v>62</v>
      </c>
      <c r="B7" s="22" t="s">
        <v>63</v>
      </c>
      <c r="C7" s="26">
        <v>1820.0</v>
      </c>
      <c r="D7" s="27">
        <v>1.4E12</v>
      </c>
      <c r="E7" s="28">
        <f>D7*(VLOOKUP(Constants!$B$1,'US CPI'!$A$3:$B$114,2,FALSE)/VLOOKUP($I$4,'US CPI'!$A$3:$B$114,2,FALSE))</f>
        <v>1671889024888</v>
      </c>
    </row>
    <row r="8">
      <c r="A8" s="22" t="s">
        <v>62</v>
      </c>
      <c r="B8" s="22" t="s">
        <v>63</v>
      </c>
      <c r="C8" s="26">
        <v>1850.0</v>
      </c>
      <c r="D8" s="27">
        <v>1.85E12</v>
      </c>
      <c r="E8" s="28">
        <f>D8*(VLOOKUP(Constants!$B$1,'US CPI'!$A$3:$B$114,2,FALSE)/VLOOKUP($I$4,'US CPI'!$A$3:$B$114,2,FALSE))</f>
        <v>2209281925745</v>
      </c>
    </row>
    <row r="9">
      <c r="A9" s="22" t="s">
        <v>62</v>
      </c>
      <c r="B9" s="22" t="s">
        <v>63</v>
      </c>
      <c r="C9" s="26">
        <v>1870.0</v>
      </c>
      <c r="D9" s="27">
        <v>2.35E12</v>
      </c>
      <c r="E9" s="28">
        <f>D9*(VLOOKUP(Constants!$B$1,'US CPI'!$A$3:$B$114,2,FALSE)/VLOOKUP($I$4,'US CPI'!$A$3:$B$114,2,FALSE))</f>
        <v>2806385148919</v>
      </c>
    </row>
    <row r="10">
      <c r="A10" s="22" t="s">
        <v>62</v>
      </c>
      <c r="B10" s="22" t="s">
        <v>63</v>
      </c>
      <c r="C10" s="26">
        <v>1900.0</v>
      </c>
      <c r="D10" s="27">
        <v>4.19E12</v>
      </c>
      <c r="E10" s="28">
        <f>D10*(VLOOKUP(Constants!$B$1,'US CPI'!$A$3:$B$114,2,FALSE)/VLOOKUP($I$4,'US CPI'!$A$3:$B$114,2,FALSE))</f>
        <v>5003725010200</v>
      </c>
    </row>
    <row r="11">
      <c r="A11" s="22" t="s">
        <v>62</v>
      </c>
      <c r="B11" s="22" t="s">
        <v>63</v>
      </c>
      <c r="C11" s="26">
        <v>1920.0</v>
      </c>
      <c r="D11" s="27">
        <v>5.77E12</v>
      </c>
      <c r="E11" s="28">
        <f>D11*(VLOOKUP(Constants!$B$1,'US CPI'!$A$3:$B$114,2,FALSE)/VLOOKUP($I$4,'US CPI'!$A$3:$B$114,2,FALSE))</f>
        <v>6890571195430</v>
      </c>
    </row>
    <row r="12">
      <c r="A12" s="22" t="s">
        <v>62</v>
      </c>
      <c r="B12" s="22" t="s">
        <v>63</v>
      </c>
      <c r="C12" s="26">
        <v>1940.0</v>
      </c>
      <c r="D12" s="27">
        <v>9.14E12</v>
      </c>
      <c r="E12" s="28">
        <f>D12*(VLOOKUP(Constants!$B$1,'US CPI'!$A$3:$B$114,2,FALSE)/VLOOKUP($I$4,'US CPI'!$A$3:$B$114,2,FALSE))</f>
        <v>10915046919625</v>
      </c>
    </row>
    <row r="13">
      <c r="A13" s="22" t="s">
        <v>62</v>
      </c>
      <c r="B13" s="22" t="s">
        <v>63</v>
      </c>
      <c r="C13" s="26">
        <v>1950.0</v>
      </c>
      <c r="D13" s="27">
        <v>1.01E13</v>
      </c>
      <c r="E13" s="28">
        <f>D13*(VLOOKUP(Constants!$B$1,'US CPI'!$A$3:$B$114,2,FALSE)/VLOOKUP($I$4,'US CPI'!$A$3:$B$114,2,FALSE))</f>
        <v>12061485108119</v>
      </c>
    </row>
    <row r="14">
      <c r="A14" s="22" t="s">
        <v>62</v>
      </c>
      <c r="B14" s="22" t="s">
        <v>63</v>
      </c>
      <c r="C14" s="26">
        <v>1960.0</v>
      </c>
      <c r="D14" s="27">
        <v>1.59E13</v>
      </c>
      <c r="E14" s="28">
        <f>D14*(VLOOKUP(Constants!$B$1,'US CPI'!$A$3:$B$114,2,FALSE)/VLOOKUP($I$4,'US CPI'!$A$3:$B$114,2,FALSE))</f>
        <v>18987882496940</v>
      </c>
    </row>
    <row r="15">
      <c r="A15" s="22" t="s">
        <v>62</v>
      </c>
      <c r="B15" s="22" t="s">
        <v>63</v>
      </c>
      <c r="C15" s="26">
        <v>1970.0</v>
      </c>
      <c r="D15" s="27">
        <v>2.62E13</v>
      </c>
      <c r="E15" s="28">
        <f>D15*(VLOOKUP(Constants!$B$1,'US CPI'!$A$3:$B$114,2,FALSE)/VLOOKUP($I$4,'US CPI'!$A$3:$B$114,2,FALSE))</f>
        <v>31288208894329</v>
      </c>
    </row>
    <row r="16">
      <c r="A16" s="22" t="s">
        <v>62</v>
      </c>
      <c r="B16" s="22" t="s">
        <v>63</v>
      </c>
      <c r="C16" s="26">
        <v>1980.0</v>
      </c>
      <c r="D16" s="27">
        <v>3.82E13</v>
      </c>
      <c r="E16" s="28">
        <f>D16*(VLOOKUP(Constants!$B$1,'US CPI'!$A$3:$B$114,2,FALSE)/VLOOKUP($I$4,'US CPI'!$A$3:$B$114,2,FALSE))</f>
        <v>45618686250510</v>
      </c>
    </row>
    <row r="17">
      <c r="A17" s="22" t="s">
        <v>62</v>
      </c>
      <c r="B17" s="22" t="s">
        <v>63</v>
      </c>
      <c r="C17" s="26">
        <v>1990.0</v>
      </c>
      <c r="D17" s="27">
        <v>5.14E13</v>
      </c>
      <c r="E17" s="28">
        <f>D17*(VLOOKUP(Constants!$B$1,'US CPI'!$A$3:$B$114,2,FALSE)/VLOOKUP($I$4,'US CPI'!$A$3:$B$114,2,FALSE))</f>
        <v>61382211342309</v>
      </c>
    </row>
    <row r="18">
      <c r="A18" s="22" t="s">
        <v>62</v>
      </c>
      <c r="B18" s="22" t="s">
        <v>63</v>
      </c>
      <c r="C18" s="26">
        <v>1991.0</v>
      </c>
      <c r="D18" s="27">
        <v>5.21E13</v>
      </c>
      <c r="E18" s="28">
        <f>D18*(VLOOKUP(Constants!$B$1,'US CPI'!$A$3:$B$114,2,FALSE)/VLOOKUP($I$4,'US CPI'!$A$3:$B$114,2,FALSE))</f>
        <v>62218155854753</v>
      </c>
    </row>
    <row r="19">
      <c r="A19" s="22" t="s">
        <v>62</v>
      </c>
      <c r="B19" s="22" t="s">
        <v>63</v>
      </c>
      <c r="C19" s="26">
        <v>1992.0</v>
      </c>
      <c r="D19" s="27">
        <v>5.29E13</v>
      </c>
      <c r="E19" s="28">
        <f>D19*(VLOOKUP(Constants!$B$1,'US CPI'!$A$3:$B$114,2,FALSE)/VLOOKUP($I$4,'US CPI'!$A$3:$B$114,2,FALSE))</f>
        <v>63173521011832</v>
      </c>
    </row>
    <row r="20">
      <c r="A20" s="22" t="s">
        <v>62</v>
      </c>
      <c r="B20" s="22" t="s">
        <v>63</v>
      </c>
      <c r="C20" s="26">
        <v>1993.0</v>
      </c>
      <c r="D20" s="27">
        <v>5.38E13</v>
      </c>
      <c r="E20" s="28">
        <f>D20*(VLOOKUP(Constants!$B$1,'US CPI'!$A$3:$B$114,2,FALSE)/VLOOKUP($I$4,'US CPI'!$A$3:$B$114,2,FALSE))</f>
        <v>64248306813546</v>
      </c>
    </row>
    <row r="21">
      <c r="A21" s="22" t="s">
        <v>62</v>
      </c>
      <c r="B21" s="22" t="s">
        <v>63</v>
      </c>
      <c r="C21" s="26">
        <v>1994.0</v>
      </c>
      <c r="D21" s="27">
        <v>5.54E13</v>
      </c>
      <c r="E21" s="28">
        <f>D21*(VLOOKUP(Constants!$B$1,'US CPI'!$A$3:$B$114,2,FALSE)/VLOOKUP($I$4,'US CPI'!$A$3:$B$114,2,FALSE))</f>
        <v>66159037127703</v>
      </c>
    </row>
    <row r="22">
      <c r="A22" s="22" t="s">
        <v>62</v>
      </c>
      <c r="B22" s="22" t="s">
        <v>63</v>
      </c>
      <c r="C22" s="26">
        <v>1995.0</v>
      </c>
      <c r="D22" s="27">
        <v>5.71E13</v>
      </c>
      <c r="E22" s="28">
        <f>D22*(VLOOKUP(Constants!$B$1,'US CPI'!$A$3:$B$114,2,FALSE)/VLOOKUP($I$4,'US CPI'!$A$3:$B$114,2,FALSE))</f>
        <v>68189188086495</v>
      </c>
    </row>
    <row r="23">
      <c r="A23" s="22" t="s">
        <v>62</v>
      </c>
      <c r="B23" s="22" t="s">
        <v>63</v>
      </c>
      <c r="C23" s="26">
        <v>1996.0</v>
      </c>
      <c r="D23" s="27">
        <v>5.92E13</v>
      </c>
      <c r="E23" s="28">
        <f>D23*(VLOOKUP(Constants!$B$1,'US CPI'!$A$3:$B$114,2,FALSE)/VLOOKUP($I$4,'US CPI'!$A$3:$B$114,2,FALSE))</f>
        <v>70697021623827</v>
      </c>
    </row>
    <row r="24">
      <c r="A24" s="22" t="s">
        <v>62</v>
      </c>
      <c r="B24" s="22" t="s">
        <v>63</v>
      </c>
      <c r="C24" s="26">
        <v>1997.0</v>
      </c>
      <c r="D24" s="27">
        <v>6.16E13</v>
      </c>
      <c r="E24" s="28">
        <f>D24*(VLOOKUP(Constants!$B$1,'US CPI'!$A$3:$B$114,2,FALSE)/VLOOKUP($I$4,'US CPI'!$A$3:$B$114,2,FALSE))</f>
        <v>73563117095063</v>
      </c>
    </row>
    <row r="25">
      <c r="A25" s="22" t="s">
        <v>62</v>
      </c>
      <c r="B25" s="22" t="s">
        <v>63</v>
      </c>
      <c r="C25" s="26">
        <v>1998.0</v>
      </c>
      <c r="D25" s="27">
        <v>6.31E13</v>
      </c>
      <c r="E25" s="28">
        <f>D25*(VLOOKUP(Constants!$B$1,'US CPI'!$A$3:$B$114,2,FALSE)/VLOOKUP($I$4,'US CPI'!$A$3:$B$114,2,FALSE))</f>
        <v>75354426764586</v>
      </c>
    </row>
    <row r="26">
      <c r="A26" s="22" t="s">
        <v>62</v>
      </c>
      <c r="B26" s="22" t="s">
        <v>63</v>
      </c>
      <c r="C26" s="26">
        <v>1999.0</v>
      </c>
      <c r="D26" s="27">
        <v>6.53E13</v>
      </c>
      <c r="E26" s="28">
        <f>D26*(VLOOKUP(Constants!$B$1,'US CPI'!$A$3:$B$114,2,FALSE)/VLOOKUP($I$4,'US CPI'!$A$3:$B$114,2,FALSE))</f>
        <v>77981680946552</v>
      </c>
    </row>
    <row r="27">
      <c r="A27" s="22" t="s">
        <v>62</v>
      </c>
      <c r="B27" s="22" t="s">
        <v>63</v>
      </c>
      <c r="C27" s="26">
        <v>2000.0</v>
      </c>
      <c r="D27" s="27">
        <v>6.84E13</v>
      </c>
      <c r="E27" s="28">
        <f>D27*(VLOOKUP(Constants!$B$1,'US CPI'!$A$3:$B$114,2,FALSE)/VLOOKUP($I$4,'US CPI'!$A$3:$B$114,2,FALSE))</f>
        <v>81683720930233</v>
      </c>
    </row>
    <row r="28">
      <c r="A28" s="22" t="s">
        <v>62</v>
      </c>
      <c r="B28" s="22" t="s">
        <v>63</v>
      </c>
      <c r="C28" s="26">
        <v>2001.0</v>
      </c>
      <c r="D28" s="27">
        <v>7.0E13</v>
      </c>
      <c r="E28" s="28">
        <f>D28*(VLOOKUP(Constants!$B$1,'US CPI'!$A$3:$B$114,2,FALSE)/VLOOKUP($I$4,'US CPI'!$A$3:$B$114,2,FALSE))</f>
        <v>83594451244390</v>
      </c>
    </row>
    <row r="29">
      <c r="A29" s="22" t="s">
        <v>62</v>
      </c>
      <c r="B29" s="22" t="s">
        <v>63</v>
      </c>
      <c r="C29" s="26">
        <v>2002.0</v>
      </c>
      <c r="D29" s="27">
        <v>7.19E13</v>
      </c>
      <c r="E29" s="28">
        <f>D29*(VLOOKUP(Constants!$B$1,'US CPI'!$A$3:$B$114,2,FALSE)/VLOOKUP($I$4,'US CPI'!$A$3:$B$114,2,FALSE))</f>
        <v>85863443492452</v>
      </c>
    </row>
    <row r="30">
      <c r="A30" s="22" t="s">
        <v>62</v>
      </c>
      <c r="B30" s="22" t="s">
        <v>63</v>
      </c>
      <c r="C30" s="26">
        <v>2003.0</v>
      </c>
      <c r="D30" s="27">
        <v>7.46E13</v>
      </c>
      <c r="E30" s="28">
        <f>D30*(VLOOKUP(Constants!$B$1,'US CPI'!$A$3:$B$114,2,FALSE)/VLOOKUP($I$4,'US CPI'!$A$3:$B$114,2,FALSE))</f>
        <v>89087800897593</v>
      </c>
    </row>
    <row r="31">
      <c r="A31" s="22" t="s">
        <v>62</v>
      </c>
      <c r="B31" s="22" t="s">
        <v>63</v>
      </c>
      <c r="C31" s="26">
        <v>2004.0</v>
      </c>
      <c r="D31" s="27">
        <v>7.83E13</v>
      </c>
      <c r="E31" s="28">
        <f>D31*(VLOOKUP(Constants!$B$1,'US CPI'!$A$3:$B$114,2,FALSE)/VLOOKUP($I$4,'US CPI'!$A$3:$B$114,2,FALSE))</f>
        <v>93506364749082</v>
      </c>
    </row>
    <row r="32">
      <c r="A32" s="22" t="s">
        <v>62</v>
      </c>
      <c r="B32" s="22" t="s">
        <v>63</v>
      </c>
      <c r="C32" s="26">
        <v>2005.0</v>
      </c>
      <c r="D32" s="27">
        <v>8.19E13</v>
      </c>
      <c r="E32" s="28">
        <f>D32*(VLOOKUP(Constants!$B$1,'US CPI'!$A$3:$B$114,2,FALSE)/VLOOKUP($I$4,'US CPI'!$A$3:$B$114,2,FALSE))</f>
        <v>97805507955936</v>
      </c>
    </row>
    <row r="33">
      <c r="A33" s="22" t="s">
        <v>62</v>
      </c>
      <c r="B33" s="22" t="s">
        <v>63</v>
      </c>
      <c r="C33" s="26">
        <v>2006.0</v>
      </c>
      <c r="D33" s="27">
        <v>8.61E13</v>
      </c>
      <c r="E33" s="28">
        <f>D33*(VLOOKUP(Constants!$B$1,'US CPI'!$A$3:$B$114,2,FALSE)/VLOOKUP($I$4,'US CPI'!$A$3:$B$114,2,FALSE))</f>
        <v>102821175030600</v>
      </c>
    </row>
    <row r="34">
      <c r="A34" s="22" t="s">
        <v>62</v>
      </c>
      <c r="B34" s="22" t="s">
        <v>63</v>
      </c>
      <c r="C34" s="26">
        <v>2007.0</v>
      </c>
      <c r="D34" s="27">
        <v>9.05E13</v>
      </c>
      <c r="E34" s="28">
        <f>D34*(VLOOKUP(Constants!$B$1,'US CPI'!$A$3:$B$114,2,FALSE)/VLOOKUP($I$4,'US CPI'!$A$3:$B$114,2,FALSE))</f>
        <v>108075683394533</v>
      </c>
    </row>
    <row r="35">
      <c r="A35" s="22" t="s">
        <v>62</v>
      </c>
      <c r="B35" s="22" t="s">
        <v>63</v>
      </c>
      <c r="C35" s="26">
        <v>2008.0</v>
      </c>
      <c r="D35" s="27">
        <v>9.29E13</v>
      </c>
      <c r="E35" s="28">
        <f>D35*(VLOOKUP(Constants!$B$1,'US CPI'!$A$3:$B$114,2,FALSE)/VLOOKUP($I$4,'US CPI'!$A$3:$B$114,2,FALSE))</f>
        <v>110941778865769</v>
      </c>
    </row>
    <row r="36">
      <c r="A36" s="22" t="s">
        <v>62</v>
      </c>
      <c r="B36" s="22" t="s">
        <v>63</v>
      </c>
      <c r="C36" s="26">
        <v>2009.0</v>
      </c>
      <c r="D36" s="27">
        <v>9.22E13</v>
      </c>
      <c r="E36" s="28">
        <f>D36*(VLOOKUP(Constants!$B$1,'US CPI'!$A$3:$B$114,2,FALSE)/VLOOKUP($I$4,'US CPI'!$A$3:$B$114,2,FALSE))</f>
        <v>110105834353325</v>
      </c>
    </row>
    <row r="37">
      <c r="A37" s="22" t="s">
        <v>62</v>
      </c>
      <c r="B37" s="22" t="s">
        <v>63</v>
      </c>
      <c r="C37" s="26">
        <v>2010.0</v>
      </c>
      <c r="D37" s="27">
        <v>9.69E13</v>
      </c>
      <c r="E37" s="28">
        <f>D37*(VLOOKUP(Constants!$B$1,'US CPI'!$A$3:$B$114,2,FALSE)/VLOOKUP($I$4,'US CPI'!$A$3:$B$114,2,FALSE))</f>
        <v>115718604651163</v>
      </c>
    </row>
    <row r="38">
      <c r="A38" s="22" t="s">
        <v>62</v>
      </c>
      <c r="B38" s="22" t="s">
        <v>63</v>
      </c>
      <c r="C38" s="26">
        <v>2011.0</v>
      </c>
      <c r="D38" s="27">
        <v>1.01E14</v>
      </c>
      <c r="E38" s="28">
        <f>D38*(VLOOKUP(Constants!$B$1,'US CPI'!$A$3:$B$114,2,FALSE)/VLOOKUP($I$4,'US CPI'!$A$3:$B$114,2,FALSE))</f>
        <v>120614851081191</v>
      </c>
    </row>
    <row r="39">
      <c r="A39" s="22" t="s">
        <v>62</v>
      </c>
      <c r="B39" s="22" t="s">
        <v>63</v>
      </c>
      <c r="C39" s="26">
        <v>2012.0</v>
      </c>
      <c r="D39" s="27">
        <v>1.04E14</v>
      </c>
      <c r="E39" s="28">
        <f>D39*(VLOOKUP(Constants!$B$1,'US CPI'!$A$3:$B$114,2,FALSE)/VLOOKUP($I$4,'US CPI'!$A$3:$B$114,2,FALSE))</f>
        <v>124197470420237</v>
      </c>
    </row>
    <row r="40">
      <c r="A40" s="22" t="s">
        <v>62</v>
      </c>
      <c r="B40" s="22" t="s">
        <v>63</v>
      </c>
      <c r="C40" s="26">
        <v>2013.0</v>
      </c>
      <c r="D40" s="27">
        <v>1.07E14</v>
      </c>
      <c r="E40" s="28">
        <f>D40*(VLOOKUP(Constants!$B$1,'US CPI'!$A$3:$B$114,2,FALSE)/VLOOKUP($I$4,'US CPI'!$A$3:$B$114,2,FALSE))</f>
        <v>127780089759282</v>
      </c>
    </row>
    <row r="41">
      <c r="A41" s="22" t="s">
        <v>62</v>
      </c>
      <c r="B41" s="22" t="s">
        <v>63</v>
      </c>
      <c r="C41" s="26">
        <v>2014.0</v>
      </c>
      <c r="D41" s="27">
        <v>1.11E14</v>
      </c>
      <c r="E41" s="28">
        <f>D41*(VLOOKUP(Constants!$B$1,'US CPI'!$A$3:$B$114,2,FALSE)/VLOOKUP($I$4,'US CPI'!$A$3:$B$114,2,FALSE))</f>
        <v>132556915544676</v>
      </c>
    </row>
    <row r="42">
      <c r="A42" s="22" t="s">
        <v>62</v>
      </c>
      <c r="B42" s="22" t="s">
        <v>63</v>
      </c>
      <c r="C42" s="26">
        <v>2015.0</v>
      </c>
      <c r="D42" s="27">
        <v>1.14E14</v>
      </c>
      <c r="E42" s="28">
        <f>D42*(VLOOKUP(Constants!$B$1,'US CPI'!$A$3:$B$114,2,FALSE)/VLOOKUP($I$4,'US CPI'!$A$3:$B$114,2,FALSE))</f>
        <v>136139534883721</v>
      </c>
    </row>
    <row r="43">
      <c r="A43" s="22" t="s">
        <v>62</v>
      </c>
      <c r="B43" s="22" t="s">
        <v>63</v>
      </c>
      <c r="C43" s="26">
        <v>2016.0</v>
      </c>
      <c r="D43" s="27">
        <v>1.18E14</v>
      </c>
      <c r="E43" s="28">
        <f>D43*(VLOOKUP(Constants!$B$1,'US CPI'!$A$3:$B$114,2,FALSE)/VLOOKUP($I$4,'US CPI'!$A$3:$B$114,2,FALSE))</f>
        <v>140916360669115</v>
      </c>
    </row>
    <row r="44">
      <c r="A44" s="22" t="s">
        <v>62</v>
      </c>
      <c r="B44" s="22" t="s">
        <v>63</v>
      </c>
      <c r="C44" s="26">
        <v>2017.0</v>
      </c>
      <c r="D44" s="27">
        <v>1.23E14</v>
      </c>
      <c r="E44" s="28">
        <f>D44*(VLOOKUP(Constants!$B$1,'US CPI'!$A$3:$B$114,2,FALSE)/VLOOKUP($I$4,'US CPI'!$A$3:$B$114,2,FALSE))</f>
        <v>146887392900857</v>
      </c>
    </row>
    <row r="45">
      <c r="A45" s="22" t="s">
        <v>62</v>
      </c>
      <c r="B45" s="22" t="s">
        <v>63</v>
      </c>
      <c r="C45" s="26">
        <v>2018.0</v>
      </c>
      <c r="D45" s="27">
        <v>1.27E14</v>
      </c>
      <c r="E45" s="28">
        <f>D45*(VLOOKUP(Constants!$B$1,'US CPI'!$A$3:$B$114,2,FALSE)/VLOOKUP($I$4,'US CPI'!$A$3:$B$114,2,FALSE))</f>
        <v>151664218686251</v>
      </c>
    </row>
    <row r="46">
      <c r="A46" s="22" t="s">
        <v>62</v>
      </c>
      <c r="B46" s="22" t="s">
        <v>63</v>
      </c>
      <c r="C46" s="26">
        <v>2019.0</v>
      </c>
      <c r="D46" s="27">
        <v>1.31E14</v>
      </c>
      <c r="E46" s="28">
        <f>D46*(VLOOKUP(Constants!$B$1,'US CPI'!$A$3:$B$114,2,FALSE)/VLOOKUP($I$4,'US CPI'!$A$3:$B$114,2,FALSE))</f>
        <v>156441044471644</v>
      </c>
    </row>
    <row r="47">
      <c r="A47" s="22" t="s">
        <v>62</v>
      </c>
      <c r="B47" s="22" t="s">
        <v>63</v>
      </c>
      <c r="C47" s="26">
        <v>2020.0</v>
      </c>
      <c r="D47" s="27">
        <v>1.27E14</v>
      </c>
      <c r="E47" s="28">
        <f>D47*(VLOOKUP(Constants!$B$1,'US CPI'!$A$3:$B$114,2,FALSE)/VLOOKUP($I$4,'US CPI'!$A$3:$B$114,2,FALSE))</f>
        <v>151664218686251</v>
      </c>
    </row>
    <row r="48">
      <c r="A48" s="22" t="s">
        <v>62</v>
      </c>
      <c r="B48" s="22" t="s">
        <v>63</v>
      </c>
      <c r="C48" s="26">
        <v>2021.0</v>
      </c>
      <c r="D48" s="27">
        <v>1.35E14</v>
      </c>
      <c r="E48" s="28">
        <f>D48*(VLOOKUP(Constants!$B$1,'US CPI'!$A$3:$B$114,2,FALSE)/VLOOKUP($I$4,'US CPI'!$A$3:$B$114,2,FALSE))</f>
        <v>161217870257038</v>
      </c>
    </row>
    <row r="49">
      <c r="A49" s="22" t="s">
        <v>62</v>
      </c>
      <c r="B49" s="22" t="s">
        <v>63</v>
      </c>
      <c r="C49" s="26">
        <v>2022.0</v>
      </c>
      <c r="D49" s="27">
        <v>1.39E14</v>
      </c>
      <c r="E49" s="28">
        <f>D49*(VLOOKUP(Constants!$B$1,'US CPI'!$A$3:$B$114,2,FALSE)/VLOOKUP($I$4,'US CPI'!$A$3:$B$114,2,FALSE))</f>
        <v>165994696042432</v>
      </c>
    </row>
  </sheetData>
  <hyperlinks>
    <hyperlink r:id="rId1" ref="H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67</v>
      </c>
      <c r="B1" s="24">
        <v>2022.0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  <col customWidth="1" min="9" max="9" width="20.88"/>
  </cols>
  <sheetData>
    <row r="1">
      <c r="A1" s="30" t="s">
        <v>68</v>
      </c>
      <c r="E1" s="30" t="s">
        <v>69</v>
      </c>
      <c r="I1" s="24" t="s">
        <v>61</v>
      </c>
    </row>
    <row r="2">
      <c r="A2" s="24" t="s">
        <v>58</v>
      </c>
      <c r="B2" s="24" t="s">
        <v>70</v>
      </c>
      <c r="C2" s="24" t="s">
        <v>71</v>
      </c>
      <c r="E2" s="24" t="s">
        <v>58</v>
      </c>
      <c r="F2" s="24" t="s">
        <v>72</v>
      </c>
      <c r="I2" s="29" t="s">
        <v>73</v>
      </c>
    </row>
    <row r="3">
      <c r="A3" s="24">
        <v>1913.0</v>
      </c>
      <c r="B3" s="24">
        <v>9.9</v>
      </c>
      <c r="E3" s="31">
        <f t="shared" ref="E3:E114" si="1">A3</f>
        <v>1913</v>
      </c>
      <c r="F3" s="31">
        <f t="shared" ref="F3:F114" si="2">VLOOKUP(E3,$A$3:$B$114,2,FALSE)/VLOOKUP($J$3,$A$3:$B$114,2,FALSE)</f>
        <v>0.03382302699</v>
      </c>
      <c r="I3" s="24" t="s">
        <v>74</v>
      </c>
      <c r="J3" s="24">
        <v>2022.0</v>
      </c>
    </row>
    <row r="4">
      <c r="A4" s="24">
        <v>1914.0</v>
      </c>
      <c r="B4" s="24">
        <v>10.0</v>
      </c>
      <c r="C4" s="32">
        <v>0.013</v>
      </c>
      <c r="E4" s="31">
        <f t="shared" si="1"/>
        <v>1914</v>
      </c>
      <c r="F4" s="31">
        <f t="shared" si="2"/>
        <v>0.03416467373</v>
      </c>
    </row>
    <row r="5">
      <c r="A5" s="24">
        <v>1915.0</v>
      </c>
      <c r="B5" s="24">
        <v>10.1</v>
      </c>
      <c r="C5" s="32">
        <v>0.009</v>
      </c>
      <c r="E5" s="31">
        <f t="shared" si="1"/>
        <v>1915</v>
      </c>
      <c r="F5" s="31">
        <f t="shared" si="2"/>
        <v>0.03450632046</v>
      </c>
    </row>
    <row r="6">
      <c r="A6" s="24">
        <v>1916.0</v>
      </c>
      <c r="B6" s="24">
        <v>10.9</v>
      </c>
      <c r="C6" s="32">
        <v>0.077</v>
      </c>
      <c r="E6" s="31">
        <f t="shared" si="1"/>
        <v>1916</v>
      </c>
      <c r="F6" s="31">
        <f t="shared" si="2"/>
        <v>0.03723949436</v>
      </c>
    </row>
    <row r="7">
      <c r="A7" s="24">
        <v>1917.0</v>
      </c>
      <c r="B7" s="24">
        <v>12.8</v>
      </c>
      <c r="C7" s="32">
        <v>0.178</v>
      </c>
      <c r="E7" s="31">
        <f t="shared" si="1"/>
        <v>1917</v>
      </c>
      <c r="F7" s="31">
        <f t="shared" si="2"/>
        <v>0.04373078237</v>
      </c>
    </row>
    <row r="8">
      <c r="A8" s="24">
        <v>1918.0</v>
      </c>
      <c r="B8" s="24">
        <v>15.0</v>
      </c>
      <c r="C8" s="32">
        <v>0.173</v>
      </c>
      <c r="E8" s="31">
        <f t="shared" si="1"/>
        <v>1918</v>
      </c>
      <c r="F8" s="31">
        <f t="shared" si="2"/>
        <v>0.05124701059</v>
      </c>
    </row>
    <row r="9">
      <c r="A9" s="24">
        <v>1919.0</v>
      </c>
      <c r="B9" s="24">
        <v>17.3</v>
      </c>
      <c r="C9" s="32">
        <v>0.152</v>
      </c>
      <c r="E9" s="31">
        <f t="shared" si="1"/>
        <v>1919</v>
      </c>
      <c r="F9" s="31">
        <f t="shared" si="2"/>
        <v>0.05910488555</v>
      </c>
    </row>
    <row r="10">
      <c r="A10" s="24">
        <v>1920.0</v>
      </c>
      <c r="B10" s="24">
        <v>20.0</v>
      </c>
      <c r="C10" s="32">
        <v>0.156</v>
      </c>
      <c r="E10" s="31">
        <f t="shared" si="1"/>
        <v>1920</v>
      </c>
      <c r="F10" s="31">
        <f t="shared" si="2"/>
        <v>0.06832934745</v>
      </c>
    </row>
    <row r="11">
      <c r="A11" s="24">
        <v>1921.0</v>
      </c>
      <c r="B11" s="24">
        <v>17.9</v>
      </c>
      <c r="C11" s="32">
        <v>-0.109</v>
      </c>
      <c r="E11" s="31">
        <f t="shared" si="1"/>
        <v>1921</v>
      </c>
      <c r="F11" s="31">
        <f t="shared" si="2"/>
        <v>0.06115476597</v>
      </c>
    </row>
    <row r="12">
      <c r="A12" s="24">
        <v>1922.0</v>
      </c>
      <c r="B12" s="24">
        <v>16.8</v>
      </c>
      <c r="C12" s="32">
        <v>-0.062</v>
      </c>
      <c r="E12" s="31">
        <f t="shared" si="1"/>
        <v>1922</v>
      </c>
      <c r="F12" s="31">
        <f t="shared" si="2"/>
        <v>0.05739665186</v>
      </c>
    </row>
    <row r="13">
      <c r="A13" s="24">
        <v>1923.0</v>
      </c>
      <c r="B13" s="24">
        <v>17.1</v>
      </c>
      <c r="C13" s="32">
        <v>0.018</v>
      </c>
      <c r="E13" s="31">
        <f t="shared" si="1"/>
        <v>1923</v>
      </c>
      <c r="F13" s="31">
        <f t="shared" si="2"/>
        <v>0.05842159207</v>
      </c>
    </row>
    <row r="14">
      <c r="A14" s="24">
        <v>1924.0</v>
      </c>
      <c r="B14" s="24">
        <v>17.1</v>
      </c>
      <c r="C14" s="32">
        <v>0.004</v>
      </c>
      <c r="E14" s="31">
        <f t="shared" si="1"/>
        <v>1924</v>
      </c>
      <c r="F14" s="31">
        <f t="shared" si="2"/>
        <v>0.05842159207</v>
      </c>
    </row>
    <row r="15">
      <c r="A15" s="24">
        <v>1925.0</v>
      </c>
      <c r="B15" s="24">
        <v>17.5</v>
      </c>
      <c r="C15" s="32">
        <v>0.024</v>
      </c>
      <c r="E15" s="31">
        <f t="shared" si="1"/>
        <v>1925</v>
      </c>
      <c r="F15" s="31">
        <f t="shared" si="2"/>
        <v>0.05978817902</v>
      </c>
    </row>
    <row r="16">
      <c r="A16" s="24">
        <v>1926.0</v>
      </c>
      <c r="B16" s="24">
        <v>17.7</v>
      </c>
      <c r="C16" s="32">
        <v>0.009</v>
      </c>
      <c r="E16" s="31">
        <f t="shared" si="1"/>
        <v>1926</v>
      </c>
      <c r="F16" s="31">
        <f t="shared" si="2"/>
        <v>0.0604714725</v>
      </c>
    </row>
    <row r="17">
      <c r="A17" s="24">
        <v>1927.0</v>
      </c>
      <c r="B17" s="24">
        <v>17.4</v>
      </c>
      <c r="C17" s="32">
        <v>-0.019</v>
      </c>
      <c r="E17" s="31">
        <f t="shared" si="1"/>
        <v>1927</v>
      </c>
      <c r="F17" s="31">
        <f t="shared" si="2"/>
        <v>0.05944653229</v>
      </c>
    </row>
    <row r="18">
      <c r="A18" s="24">
        <v>1928.0</v>
      </c>
      <c r="B18" s="24">
        <v>17.2</v>
      </c>
      <c r="C18" s="32">
        <v>-0.012</v>
      </c>
      <c r="E18" s="31">
        <f t="shared" si="1"/>
        <v>1928</v>
      </c>
      <c r="F18" s="31">
        <f t="shared" si="2"/>
        <v>0.05876323881</v>
      </c>
    </row>
    <row r="19">
      <c r="A19" s="24">
        <v>1929.0</v>
      </c>
      <c r="B19" s="24">
        <v>17.2</v>
      </c>
      <c r="C19" s="32">
        <v>0.0</v>
      </c>
      <c r="E19" s="31">
        <f t="shared" si="1"/>
        <v>1929</v>
      </c>
      <c r="F19" s="31">
        <f t="shared" si="2"/>
        <v>0.05876323881</v>
      </c>
    </row>
    <row r="20">
      <c r="A20" s="24">
        <v>1930.0</v>
      </c>
      <c r="B20" s="24">
        <v>16.7</v>
      </c>
      <c r="C20" s="32">
        <v>-0.027</v>
      </c>
      <c r="E20" s="31">
        <f t="shared" si="1"/>
        <v>1930</v>
      </c>
      <c r="F20" s="31">
        <f t="shared" si="2"/>
        <v>0.05705500512</v>
      </c>
    </row>
    <row r="21">
      <c r="A21" s="24">
        <v>1931.0</v>
      </c>
      <c r="B21" s="24">
        <v>15.2</v>
      </c>
      <c r="C21" s="32">
        <v>-0.089</v>
      </c>
      <c r="E21" s="31">
        <f t="shared" si="1"/>
        <v>1931</v>
      </c>
      <c r="F21" s="31">
        <f t="shared" si="2"/>
        <v>0.05193030407</v>
      </c>
    </row>
    <row r="22">
      <c r="A22" s="24">
        <v>1932.0</v>
      </c>
      <c r="B22" s="24">
        <v>13.6</v>
      </c>
      <c r="C22" s="32">
        <v>-0.103</v>
      </c>
      <c r="E22" s="31">
        <f t="shared" si="1"/>
        <v>1932</v>
      </c>
      <c r="F22" s="31">
        <f t="shared" si="2"/>
        <v>0.04646395627</v>
      </c>
    </row>
    <row r="23">
      <c r="A23" s="24">
        <v>1933.0</v>
      </c>
      <c r="B23" s="24">
        <v>12.9</v>
      </c>
      <c r="C23" s="32">
        <v>-0.052</v>
      </c>
      <c r="E23" s="31">
        <f t="shared" si="1"/>
        <v>1933</v>
      </c>
      <c r="F23" s="31">
        <f t="shared" si="2"/>
        <v>0.04407242911</v>
      </c>
    </row>
    <row r="24">
      <c r="A24" s="24">
        <v>1934.0</v>
      </c>
      <c r="B24" s="24">
        <v>13.4</v>
      </c>
      <c r="C24" s="32">
        <v>0.035</v>
      </c>
      <c r="E24" s="31">
        <f t="shared" si="1"/>
        <v>1934</v>
      </c>
      <c r="F24" s="31">
        <f t="shared" si="2"/>
        <v>0.04578066279</v>
      </c>
    </row>
    <row r="25">
      <c r="A25" s="24">
        <v>1935.0</v>
      </c>
      <c r="B25" s="24">
        <v>13.7</v>
      </c>
      <c r="C25" s="32">
        <v>0.026</v>
      </c>
      <c r="E25" s="31">
        <f t="shared" si="1"/>
        <v>1935</v>
      </c>
      <c r="F25" s="31">
        <f t="shared" si="2"/>
        <v>0.04680560301</v>
      </c>
    </row>
    <row r="26">
      <c r="A26" s="24">
        <v>1936.0</v>
      </c>
      <c r="B26" s="24">
        <v>13.9</v>
      </c>
      <c r="C26" s="32">
        <v>0.01</v>
      </c>
      <c r="E26" s="31">
        <f t="shared" si="1"/>
        <v>1936</v>
      </c>
      <c r="F26" s="31">
        <f t="shared" si="2"/>
        <v>0.04748889648</v>
      </c>
    </row>
    <row r="27">
      <c r="A27" s="24">
        <v>1937.0</v>
      </c>
      <c r="B27" s="24">
        <v>14.4</v>
      </c>
      <c r="C27" s="32">
        <v>0.037</v>
      </c>
      <c r="E27" s="31">
        <f t="shared" si="1"/>
        <v>1937</v>
      </c>
      <c r="F27" s="31">
        <f t="shared" si="2"/>
        <v>0.04919713017</v>
      </c>
    </row>
    <row r="28">
      <c r="A28" s="24">
        <v>1938.0</v>
      </c>
      <c r="B28" s="24">
        <v>14.1</v>
      </c>
      <c r="C28" s="32">
        <v>-0.02</v>
      </c>
      <c r="E28" s="31">
        <f t="shared" si="1"/>
        <v>1938</v>
      </c>
      <c r="F28" s="31">
        <f t="shared" si="2"/>
        <v>0.04817218996</v>
      </c>
    </row>
    <row r="29">
      <c r="A29" s="24">
        <v>1939.0</v>
      </c>
      <c r="B29" s="24">
        <v>13.9</v>
      </c>
      <c r="C29" s="32">
        <v>-0.013</v>
      </c>
      <c r="E29" s="31">
        <f t="shared" si="1"/>
        <v>1939</v>
      </c>
      <c r="F29" s="31">
        <f t="shared" si="2"/>
        <v>0.04748889648</v>
      </c>
    </row>
    <row r="30">
      <c r="A30" s="24">
        <v>1940.0</v>
      </c>
      <c r="B30" s="24">
        <v>14.0</v>
      </c>
      <c r="C30" s="32">
        <v>0.007</v>
      </c>
      <c r="E30" s="31">
        <f t="shared" si="1"/>
        <v>1940</v>
      </c>
      <c r="F30" s="31">
        <f t="shared" si="2"/>
        <v>0.04783054322</v>
      </c>
    </row>
    <row r="31">
      <c r="A31" s="24">
        <v>1941.0</v>
      </c>
      <c r="B31" s="24">
        <v>14.7</v>
      </c>
      <c r="C31" s="32">
        <v>0.051</v>
      </c>
      <c r="E31" s="31">
        <f t="shared" si="1"/>
        <v>1941</v>
      </c>
      <c r="F31" s="31">
        <f t="shared" si="2"/>
        <v>0.05022207038</v>
      </c>
    </row>
    <row r="32">
      <c r="A32" s="24">
        <v>1942.0</v>
      </c>
      <c r="B32" s="24">
        <v>16.3</v>
      </c>
      <c r="C32" s="32">
        <v>0.109</v>
      </c>
      <c r="E32" s="31">
        <f t="shared" si="1"/>
        <v>1942</v>
      </c>
      <c r="F32" s="31">
        <f t="shared" si="2"/>
        <v>0.05568841818</v>
      </c>
    </row>
    <row r="33">
      <c r="A33" s="24">
        <v>1943.0</v>
      </c>
      <c r="B33" s="24">
        <v>17.3</v>
      </c>
      <c r="C33" s="32">
        <v>0.06</v>
      </c>
      <c r="E33" s="31">
        <f t="shared" si="1"/>
        <v>1943</v>
      </c>
      <c r="F33" s="31">
        <f t="shared" si="2"/>
        <v>0.05910488555</v>
      </c>
    </row>
    <row r="34">
      <c r="A34" s="24">
        <v>1944.0</v>
      </c>
      <c r="B34" s="24">
        <v>17.6</v>
      </c>
      <c r="C34" s="32">
        <v>0.016</v>
      </c>
      <c r="E34" s="31">
        <f t="shared" si="1"/>
        <v>1944</v>
      </c>
      <c r="F34" s="31">
        <f t="shared" si="2"/>
        <v>0.06012982576</v>
      </c>
    </row>
    <row r="35">
      <c r="A35" s="24">
        <v>1945.0</v>
      </c>
      <c r="B35" s="24">
        <v>18.0</v>
      </c>
      <c r="C35" s="32">
        <v>0.023</v>
      </c>
      <c r="E35" s="31">
        <f t="shared" si="1"/>
        <v>1945</v>
      </c>
      <c r="F35" s="31">
        <f t="shared" si="2"/>
        <v>0.06149641271</v>
      </c>
    </row>
    <row r="36">
      <c r="A36" s="24">
        <v>1946.0</v>
      </c>
      <c r="B36" s="24">
        <v>19.5</v>
      </c>
      <c r="C36" s="32">
        <v>0.085</v>
      </c>
      <c r="E36" s="31">
        <f t="shared" si="1"/>
        <v>1946</v>
      </c>
      <c r="F36" s="31">
        <f t="shared" si="2"/>
        <v>0.06662111377</v>
      </c>
    </row>
    <row r="37">
      <c r="A37" s="24">
        <v>1947.0</v>
      </c>
      <c r="B37" s="24">
        <v>22.3</v>
      </c>
      <c r="C37" s="32">
        <v>0.144</v>
      </c>
      <c r="E37" s="31">
        <f t="shared" si="1"/>
        <v>1947</v>
      </c>
      <c r="F37" s="31">
        <f t="shared" si="2"/>
        <v>0.07618722241</v>
      </c>
    </row>
    <row r="38">
      <c r="A38" s="24">
        <v>1948.0</v>
      </c>
      <c r="B38" s="24">
        <v>24.0</v>
      </c>
      <c r="C38" s="32">
        <v>0.077</v>
      </c>
      <c r="E38" s="31">
        <f t="shared" si="1"/>
        <v>1948</v>
      </c>
      <c r="F38" s="31">
        <f t="shared" si="2"/>
        <v>0.08199521695</v>
      </c>
    </row>
    <row r="39">
      <c r="A39" s="24">
        <v>1949.0</v>
      </c>
      <c r="B39" s="24">
        <v>23.8</v>
      </c>
      <c r="C39" s="32">
        <v>-0.01</v>
      </c>
      <c r="E39" s="31">
        <f t="shared" si="1"/>
        <v>1949</v>
      </c>
      <c r="F39" s="31">
        <f t="shared" si="2"/>
        <v>0.08131192347</v>
      </c>
    </row>
    <row r="40">
      <c r="A40" s="24">
        <v>1950.0</v>
      </c>
      <c r="B40" s="24">
        <v>24.1</v>
      </c>
      <c r="C40" s="32">
        <v>0.011</v>
      </c>
      <c r="E40" s="31">
        <f t="shared" si="1"/>
        <v>1950</v>
      </c>
      <c r="F40" s="31">
        <f t="shared" si="2"/>
        <v>0.08233686368</v>
      </c>
    </row>
    <row r="41">
      <c r="A41" s="24">
        <v>1951.0</v>
      </c>
      <c r="B41" s="24">
        <v>26.0</v>
      </c>
      <c r="C41" s="32">
        <v>0.079</v>
      </c>
      <c r="E41" s="31">
        <f t="shared" si="1"/>
        <v>1951</v>
      </c>
      <c r="F41" s="31">
        <f t="shared" si="2"/>
        <v>0.08882815169</v>
      </c>
    </row>
    <row r="42">
      <c r="A42" s="24">
        <v>1952.0</v>
      </c>
      <c r="B42" s="24">
        <v>26.6</v>
      </c>
      <c r="C42" s="32">
        <v>0.023</v>
      </c>
      <c r="E42" s="31">
        <f t="shared" si="1"/>
        <v>1952</v>
      </c>
      <c r="F42" s="31">
        <f t="shared" si="2"/>
        <v>0.09087803211</v>
      </c>
    </row>
    <row r="43">
      <c r="A43" s="24">
        <v>1953.0</v>
      </c>
      <c r="B43" s="24">
        <v>26.8</v>
      </c>
      <c r="C43" s="32">
        <v>0.008</v>
      </c>
      <c r="E43" s="31">
        <f t="shared" si="1"/>
        <v>1953</v>
      </c>
      <c r="F43" s="31">
        <f t="shared" si="2"/>
        <v>0.09156132559</v>
      </c>
    </row>
    <row r="44">
      <c r="A44" s="24">
        <v>1954.0</v>
      </c>
      <c r="B44" s="24">
        <v>26.9</v>
      </c>
      <c r="C44" s="32">
        <v>0.003</v>
      </c>
      <c r="E44" s="31">
        <f t="shared" si="1"/>
        <v>1954</v>
      </c>
      <c r="F44" s="31">
        <f t="shared" si="2"/>
        <v>0.09190297233</v>
      </c>
    </row>
    <row r="45">
      <c r="A45" s="24">
        <v>1955.0</v>
      </c>
      <c r="B45" s="24">
        <v>26.8</v>
      </c>
      <c r="C45" s="32">
        <v>-0.003</v>
      </c>
      <c r="E45" s="31">
        <f t="shared" si="1"/>
        <v>1955</v>
      </c>
      <c r="F45" s="31">
        <f t="shared" si="2"/>
        <v>0.09156132559</v>
      </c>
    </row>
    <row r="46">
      <c r="A46" s="24">
        <v>1956.0</v>
      </c>
      <c r="B46" s="24">
        <v>27.2</v>
      </c>
      <c r="C46" s="32">
        <v>0.015</v>
      </c>
      <c r="E46" s="31">
        <f t="shared" si="1"/>
        <v>1956</v>
      </c>
      <c r="F46" s="31">
        <f t="shared" si="2"/>
        <v>0.09292791254</v>
      </c>
    </row>
    <row r="47">
      <c r="A47" s="24">
        <v>1957.0</v>
      </c>
      <c r="B47" s="24">
        <v>28.1</v>
      </c>
      <c r="C47" s="32">
        <v>0.033</v>
      </c>
      <c r="E47" s="31">
        <f t="shared" si="1"/>
        <v>1957</v>
      </c>
      <c r="F47" s="31">
        <f t="shared" si="2"/>
        <v>0.09600273317</v>
      </c>
    </row>
    <row r="48">
      <c r="A48" s="24">
        <v>1958.0</v>
      </c>
      <c r="B48" s="24">
        <v>28.9</v>
      </c>
      <c r="C48" s="32">
        <v>0.027</v>
      </c>
      <c r="E48" s="31">
        <f t="shared" si="1"/>
        <v>1958</v>
      </c>
      <c r="F48" s="31">
        <f t="shared" si="2"/>
        <v>0.09873590707</v>
      </c>
    </row>
    <row r="49">
      <c r="A49" s="24">
        <v>1959.0</v>
      </c>
      <c r="B49" s="24">
        <v>29.2</v>
      </c>
      <c r="C49" s="32">
        <v>0.0108</v>
      </c>
      <c r="E49" s="31">
        <f t="shared" si="1"/>
        <v>1959</v>
      </c>
      <c r="F49" s="31">
        <f t="shared" si="2"/>
        <v>0.09976084728</v>
      </c>
    </row>
    <row r="50">
      <c r="A50" s="24">
        <v>1960.0</v>
      </c>
      <c r="B50" s="24">
        <v>29.6</v>
      </c>
      <c r="C50" s="32">
        <v>0.015</v>
      </c>
      <c r="E50" s="31">
        <f t="shared" si="1"/>
        <v>1960</v>
      </c>
      <c r="F50" s="31">
        <f t="shared" si="2"/>
        <v>0.1011274342</v>
      </c>
    </row>
    <row r="51">
      <c r="A51" s="24">
        <v>1961.0</v>
      </c>
      <c r="B51" s="24">
        <v>29.9</v>
      </c>
      <c r="C51" s="32">
        <v>0.011</v>
      </c>
      <c r="E51" s="31">
        <f t="shared" si="1"/>
        <v>1961</v>
      </c>
      <c r="F51" s="31">
        <f t="shared" si="2"/>
        <v>0.1021523744</v>
      </c>
    </row>
    <row r="52">
      <c r="A52" s="24">
        <v>1962.0</v>
      </c>
      <c r="B52" s="24">
        <v>30.3</v>
      </c>
      <c r="C52" s="32">
        <v>0.012</v>
      </c>
      <c r="E52" s="31">
        <f t="shared" si="1"/>
        <v>1962</v>
      </c>
      <c r="F52" s="31">
        <f t="shared" si="2"/>
        <v>0.1035189614</v>
      </c>
    </row>
    <row r="53">
      <c r="A53" s="24">
        <v>1963.0</v>
      </c>
      <c r="B53" s="24">
        <v>30.6</v>
      </c>
      <c r="C53" s="32">
        <v>0.012</v>
      </c>
      <c r="E53" s="31">
        <f t="shared" si="1"/>
        <v>1963</v>
      </c>
      <c r="F53" s="31">
        <f t="shared" si="2"/>
        <v>0.1045439016</v>
      </c>
    </row>
    <row r="54">
      <c r="A54" s="24">
        <v>1964.0</v>
      </c>
      <c r="B54" s="24">
        <v>31.0</v>
      </c>
      <c r="C54" s="32">
        <v>0.013</v>
      </c>
      <c r="E54" s="31">
        <f t="shared" si="1"/>
        <v>1964</v>
      </c>
      <c r="F54" s="31">
        <f t="shared" si="2"/>
        <v>0.1059104886</v>
      </c>
    </row>
    <row r="55">
      <c r="A55" s="24">
        <v>1965.0</v>
      </c>
      <c r="B55" s="24">
        <v>31.5</v>
      </c>
      <c r="C55" s="32">
        <v>0.016</v>
      </c>
      <c r="E55" s="31">
        <f t="shared" si="1"/>
        <v>1965</v>
      </c>
      <c r="F55" s="31">
        <f t="shared" si="2"/>
        <v>0.1076187222</v>
      </c>
    </row>
    <row r="56">
      <c r="A56" s="24">
        <v>1966.0</v>
      </c>
      <c r="B56" s="24">
        <v>32.5</v>
      </c>
      <c r="C56" s="32">
        <v>0.03</v>
      </c>
      <c r="E56" s="31">
        <f t="shared" si="1"/>
        <v>1966</v>
      </c>
      <c r="F56" s="31">
        <f t="shared" si="2"/>
        <v>0.1110351896</v>
      </c>
    </row>
    <row r="57">
      <c r="A57" s="24">
        <v>1967.0</v>
      </c>
      <c r="B57" s="24">
        <v>33.4</v>
      </c>
      <c r="C57" s="32">
        <v>0.028</v>
      </c>
      <c r="E57" s="31">
        <f t="shared" si="1"/>
        <v>1967</v>
      </c>
      <c r="F57" s="31">
        <f t="shared" si="2"/>
        <v>0.1141100102</v>
      </c>
    </row>
    <row r="58">
      <c r="A58" s="24">
        <v>1968.0</v>
      </c>
      <c r="B58" s="24">
        <v>34.8</v>
      </c>
      <c r="C58" s="32">
        <v>0.043</v>
      </c>
      <c r="E58" s="31">
        <f t="shared" si="1"/>
        <v>1968</v>
      </c>
      <c r="F58" s="31">
        <f t="shared" si="2"/>
        <v>0.1188930646</v>
      </c>
    </row>
    <row r="59">
      <c r="A59" s="24">
        <v>1969.0</v>
      </c>
      <c r="B59" s="24">
        <v>36.7</v>
      </c>
      <c r="C59" s="32">
        <v>0.055</v>
      </c>
      <c r="E59" s="31">
        <f t="shared" si="1"/>
        <v>1969</v>
      </c>
      <c r="F59" s="31">
        <f t="shared" si="2"/>
        <v>0.1253843526</v>
      </c>
    </row>
    <row r="60">
      <c r="A60" s="24">
        <v>1970.0</v>
      </c>
      <c r="B60" s="24">
        <v>38.8</v>
      </c>
      <c r="C60" s="32">
        <v>0.058</v>
      </c>
      <c r="E60" s="31">
        <f t="shared" si="1"/>
        <v>1970</v>
      </c>
      <c r="F60" s="31">
        <f t="shared" si="2"/>
        <v>0.1325589341</v>
      </c>
    </row>
    <row r="61">
      <c r="A61" s="24">
        <v>1971.0</v>
      </c>
      <c r="B61" s="24">
        <v>40.5</v>
      </c>
      <c r="C61" s="32">
        <v>0.043</v>
      </c>
      <c r="E61" s="31">
        <f t="shared" si="1"/>
        <v>1971</v>
      </c>
      <c r="F61" s="31">
        <f t="shared" si="2"/>
        <v>0.1383669286</v>
      </c>
    </row>
    <row r="62">
      <c r="A62" s="24">
        <v>1972.0</v>
      </c>
      <c r="B62" s="24">
        <v>41.8</v>
      </c>
      <c r="C62" s="32">
        <v>0.033</v>
      </c>
      <c r="E62" s="31">
        <f t="shared" si="1"/>
        <v>1972</v>
      </c>
      <c r="F62" s="31">
        <f t="shared" si="2"/>
        <v>0.1428083362</v>
      </c>
    </row>
    <row r="63">
      <c r="A63" s="24">
        <v>1973.0</v>
      </c>
      <c r="B63" s="24">
        <v>44.4</v>
      </c>
      <c r="C63" s="32">
        <v>0.062</v>
      </c>
      <c r="E63" s="31">
        <f t="shared" si="1"/>
        <v>1973</v>
      </c>
      <c r="F63" s="31">
        <f t="shared" si="2"/>
        <v>0.1516911513</v>
      </c>
    </row>
    <row r="64">
      <c r="A64" s="24">
        <v>1974.0</v>
      </c>
      <c r="B64" s="24">
        <v>49.3</v>
      </c>
      <c r="C64" s="32">
        <v>0.111</v>
      </c>
      <c r="E64" s="31">
        <f t="shared" si="1"/>
        <v>1974</v>
      </c>
      <c r="F64" s="31">
        <f t="shared" si="2"/>
        <v>0.1684318415</v>
      </c>
    </row>
    <row r="65">
      <c r="A65" s="24">
        <v>1975.0</v>
      </c>
      <c r="B65" s="24">
        <v>53.8</v>
      </c>
      <c r="C65" s="32">
        <v>0.091</v>
      </c>
      <c r="E65" s="31">
        <f t="shared" si="1"/>
        <v>1975</v>
      </c>
      <c r="F65" s="31">
        <f t="shared" si="2"/>
        <v>0.1838059447</v>
      </c>
    </row>
    <row r="66">
      <c r="A66" s="24">
        <v>1976.0</v>
      </c>
      <c r="B66" s="24">
        <v>56.9</v>
      </c>
      <c r="C66" s="32">
        <v>0.057</v>
      </c>
      <c r="E66" s="31">
        <f t="shared" si="1"/>
        <v>1976</v>
      </c>
      <c r="F66" s="31">
        <f t="shared" si="2"/>
        <v>0.1943969935</v>
      </c>
    </row>
    <row r="67">
      <c r="A67" s="24">
        <v>1977.0</v>
      </c>
      <c r="B67" s="24">
        <v>60.6</v>
      </c>
      <c r="C67" s="32">
        <v>0.065</v>
      </c>
      <c r="E67" s="31">
        <f t="shared" si="1"/>
        <v>1977</v>
      </c>
      <c r="F67" s="31">
        <f t="shared" si="2"/>
        <v>0.2070379228</v>
      </c>
    </row>
    <row r="68">
      <c r="A68" s="24">
        <v>1978.0</v>
      </c>
      <c r="B68" s="24">
        <v>65.2</v>
      </c>
      <c r="C68" s="32">
        <v>0.076</v>
      </c>
      <c r="E68" s="31">
        <f t="shared" si="1"/>
        <v>1978</v>
      </c>
      <c r="F68" s="31">
        <f t="shared" si="2"/>
        <v>0.2227536727</v>
      </c>
    </row>
    <row r="69">
      <c r="A69" s="24">
        <v>1979.0</v>
      </c>
      <c r="B69" s="24">
        <v>72.6</v>
      </c>
      <c r="C69" s="32">
        <v>0.113</v>
      </c>
      <c r="E69" s="31">
        <f t="shared" si="1"/>
        <v>1979</v>
      </c>
      <c r="F69" s="31">
        <f t="shared" si="2"/>
        <v>0.2480355313</v>
      </c>
    </row>
    <row r="70">
      <c r="A70" s="24">
        <v>1980.0</v>
      </c>
      <c r="B70" s="24">
        <v>82.4</v>
      </c>
      <c r="C70" s="32">
        <v>0.135</v>
      </c>
      <c r="E70" s="31">
        <f t="shared" si="1"/>
        <v>1980</v>
      </c>
      <c r="F70" s="31">
        <f t="shared" si="2"/>
        <v>0.2815169115</v>
      </c>
    </row>
    <row r="71">
      <c r="A71" s="24">
        <v>1981.0</v>
      </c>
      <c r="B71" s="24">
        <v>90.9</v>
      </c>
      <c r="C71" s="32">
        <v>0.103</v>
      </c>
      <c r="E71" s="31">
        <f t="shared" si="1"/>
        <v>1981</v>
      </c>
      <c r="F71" s="31">
        <f t="shared" si="2"/>
        <v>0.3105568842</v>
      </c>
    </row>
    <row r="72">
      <c r="A72" s="24">
        <v>1982.0</v>
      </c>
      <c r="B72" s="24">
        <v>96.5</v>
      </c>
      <c r="C72" s="32">
        <v>0.061</v>
      </c>
      <c r="E72" s="31">
        <f t="shared" si="1"/>
        <v>1982</v>
      </c>
      <c r="F72" s="31">
        <f t="shared" si="2"/>
        <v>0.3296891015</v>
      </c>
    </row>
    <row r="73">
      <c r="A73" s="24">
        <v>1983.0</v>
      </c>
      <c r="B73" s="24">
        <v>99.6</v>
      </c>
      <c r="C73" s="32">
        <v>0.032</v>
      </c>
      <c r="E73" s="31">
        <f t="shared" si="1"/>
        <v>1983</v>
      </c>
      <c r="F73" s="31">
        <f t="shared" si="2"/>
        <v>0.3402801503</v>
      </c>
    </row>
    <row r="74">
      <c r="A74" s="24">
        <v>1984.0</v>
      </c>
      <c r="B74" s="24">
        <v>103.9</v>
      </c>
      <c r="C74" s="32">
        <v>0.043</v>
      </c>
      <c r="E74" s="31">
        <f t="shared" si="1"/>
        <v>1984</v>
      </c>
      <c r="F74" s="31">
        <f t="shared" si="2"/>
        <v>0.35497096</v>
      </c>
    </row>
    <row r="75">
      <c r="A75" s="24">
        <v>1985.0</v>
      </c>
      <c r="B75" s="24">
        <v>107.6</v>
      </c>
      <c r="C75" s="32">
        <v>0.035</v>
      </c>
      <c r="E75" s="31">
        <f t="shared" si="1"/>
        <v>1985</v>
      </c>
      <c r="F75" s="31">
        <f t="shared" si="2"/>
        <v>0.3676118893</v>
      </c>
    </row>
    <row r="76">
      <c r="A76" s="24">
        <v>1986.0</v>
      </c>
      <c r="B76" s="24">
        <v>109.6</v>
      </c>
      <c r="C76" s="32">
        <v>0.019</v>
      </c>
      <c r="E76" s="31">
        <f t="shared" si="1"/>
        <v>1986</v>
      </c>
      <c r="F76" s="31">
        <f t="shared" si="2"/>
        <v>0.3744448241</v>
      </c>
    </row>
    <row r="77">
      <c r="A77" s="24">
        <v>1987.0</v>
      </c>
      <c r="B77" s="24">
        <v>113.6</v>
      </c>
      <c r="C77" s="32">
        <v>0.037</v>
      </c>
      <c r="E77" s="31">
        <f t="shared" si="1"/>
        <v>1987</v>
      </c>
      <c r="F77" s="31">
        <f t="shared" si="2"/>
        <v>0.3881106935</v>
      </c>
    </row>
    <row r="78">
      <c r="A78" s="24">
        <v>1988.0</v>
      </c>
      <c r="B78" s="24">
        <v>118.3</v>
      </c>
      <c r="C78" s="32">
        <v>0.041</v>
      </c>
      <c r="E78" s="31">
        <f t="shared" si="1"/>
        <v>1988</v>
      </c>
      <c r="F78" s="31">
        <f t="shared" si="2"/>
        <v>0.4041680902</v>
      </c>
    </row>
    <row r="79">
      <c r="A79" s="24">
        <v>1989.0</v>
      </c>
      <c r="B79" s="24">
        <v>124.0</v>
      </c>
      <c r="C79" s="32">
        <v>0.048</v>
      </c>
      <c r="E79" s="31">
        <f t="shared" si="1"/>
        <v>1989</v>
      </c>
      <c r="F79" s="31">
        <f t="shared" si="2"/>
        <v>0.4236419542</v>
      </c>
    </row>
    <row r="80">
      <c r="A80" s="24">
        <v>1990.0</v>
      </c>
      <c r="B80" s="24">
        <v>130.7</v>
      </c>
      <c r="C80" s="32">
        <v>0.054</v>
      </c>
      <c r="E80" s="31">
        <f t="shared" si="1"/>
        <v>1990</v>
      </c>
      <c r="F80" s="31">
        <f t="shared" si="2"/>
        <v>0.4465322856</v>
      </c>
    </row>
    <row r="81">
      <c r="A81" s="24">
        <v>1991.0</v>
      </c>
      <c r="B81" s="24">
        <v>136.2</v>
      </c>
      <c r="C81" s="32">
        <v>0.042</v>
      </c>
      <c r="E81" s="31">
        <f t="shared" si="1"/>
        <v>1991</v>
      </c>
      <c r="F81" s="31">
        <f t="shared" si="2"/>
        <v>0.4653228562</v>
      </c>
    </row>
    <row r="82">
      <c r="A82" s="24">
        <v>1992.0</v>
      </c>
      <c r="B82" s="24">
        <v>140.3</v>
      </c>
      <c r="C82" s="32">
        <v>0.03</v>
      </c>
      <c r="E82" s="31">
        <f t="shared" si="1"/>
        <v>1992</v>
      </c>
      <c r="F82" s="31">
        <f t="shared" si="2"/>
        <v>0.4793303724</v>
      </c>
    </row>
    <row r="83">
      <c r="A83" s="24">
        <v>1993.0</v>
      </c>
      <c r="B83" s="24">
        <v>144.5</v>
      </c>
      <c r="C83" s="32">
        <v>0.03</v>
      </c>
      <c r="E83" s="31">
        <f t="shared" si="1"/>
        <v>1993</v>
      </c>
      <c r="F83" s="31">
        <f t="shared" si="2"/>
        <v>0.4936795354</v>
      </c>
    </row>
    <row r="84">
      <c r="A84" s="24">
        <v>1994.0</v>
      </c>
      <c r="B84" s="24">
        <v>148.2</v>
      </c>
      <c r="C84" s="32">
        <v>0.026</v>
      </c>
      <c r="E84" s="31">
        <f t="shared" si="1"/>
        <v>1994</v>
      </c>
      <c r="F84" s="31">
        <f t="shared" si="2"/>
        <v>0.5063204646</v>
      </c>
    </row>
    <row r="85">
      <c r="A85" s="24">
        <v>1995.0</v>
      </c>
      <c r="B85" s="24">
        <v>152.4</v>
      </c>
      <c r="C85" s="32">
        <v>0.028</v>
      </c>
      <c r="E85" s="31">
        <f t="shared" si="1"/>
        <v>1995</v>
      </c>
      <c r="F85" s="31">
        <f t="shared" si="2"/>
        <v>0.5206696276</v>
      </c>
    </row>
    <row r="86">
      <c r="A86" s="24">
        <v>1996.0</v>
      </c>
      <c r="B86" s="24">
        <v>156.9</v>
      </c>
      <c r="C86" s="32">
        <v>0.029</v>
      </c>
      <c r="E86" s="31">
        <f t="shared" si="1"/>
        <v>1996</v>
      </c>
      <c r="F86" s="31">
        <f t="shared" si="2"/>
        <v>0.5360437308</v>
      </c>
    </row>
    <row r="87">
      <c r="A87" s="24">
        <v>1997.0</v>
      </c>
      <c r="B87" s="24">
        <v>160.5</v>
      </c>
      <c r="C87" s="32">
        <v>0.023</v>
      </c>
      <c r="E87" s="31">
        <f t="shared" si="1"/>
        <v>1997</v>
      </c>
      <c r="F87" s="31">
        <f t="shared" si="2"/>
        <v>0.5483430133</v>
      </c>
    </row>
    <row r="88">
      <c r="A88" s="24">
        <v>1998.0</v>
      </c>
      <c r="B88" s="24">
        <v>163.0</v>
      </c>
      <c r="C88" s="32">
        <v>0.016</v>
      </c>
      <c r="E88" s="31">
        <f t="shared" si="1"/>
        <v>1998</v>
      </c>
      <c r="F88" s="31">
        <f t="shared" si="2"/>
        <v>0.5568841818</v>
      </c>
    </row>
    <row r="89">
      <c r="A89" s="24">
        <v>1999.0</v>
      </c>
      <c r="B89" s="24">
        <v>166.6</v>
      </c>
      <c r="C89" s="32">
        <v>0.022</v>
      </c>
      <c r="E89" s="31">
        <f t="shared" si="1"/>
        <v>1999</v>
      </c>
      <c r="F89" s="31">
        <f t="shared" si="2"/>
        <v>0.5691834643</v>
      </c>
    </row>
    <row r="90">
      <c r="A90" s="24">
        <v>2000.0</v>
      </c>
      <c r="B90" s="24">
        <v>172.2</v>
      </c>
      <c r="C90" s="32">
        <v>0.034</v>
      </c>
      <c r="E90" s="31">
        <f t="shared" si="1"/>
        <v>2000</v>
      </c>
      <c r="F90" s="31">
        <f t="shared" si="2"/>
        <v>0.5883156816</v>
      </c>
    </row>
    <row r="91">
      <c r="A91" s="24">
        <v>2001.0</v>
      </c>
      <c r="B91" s="24">
        <v>177.1</v>
      </c>
      <c r="C91" s="32">
        <v>0.028</v>
      </c>
      <c r="E91" s="31">
        <f t="shared" si="1"/>
        <v>2001</v>
      </c>
      <c r="F91" s="31">
        <f t="shared" si="2"/>
        <v>0.6050563717</v>
      </c>
    </row>
    <row r="92">
      <c r="A92" s="24">
        <v>2002.0</v>
      </c>
      <c r="B92" s="24">
        <v>179.9</v>
      </c>
      <c r="C92" s="32">
        <v>0.016</v>
      </c>
      <c r="E92" s="31">
        <f t="shared" si="1"/>
        <v>2002</v>
      </c>
      <c r="F92" s="31">
        <f t="shared" si="2"/>
        <v>0.6146224804</v>
      </c>
    </row>
    <row r="93">
      <c r="A93" s="24">
        <v>2003.0</v>
      </c>
      <c r="B93" s="24">
        <v>184.0</v>
      </c>
      <c r="C93" s="32">
        <v>0.023</v>
      </c>
      <c r="E93" s="31">
        <f t="shared" si="1"/>
        <v>2003</v>
      </c>
      <c r="F93" s="31">
        <f t="shared" si="2"/>
        <v>0.6286299966</v>
      </c>
    </row>
    <row r="94">
      <c r="A94" s="24">
        <v>2004.0</v>
      </c>
      <c r="B94" s="24">
        <v>188.9</v>
      </c>
      <c r="C94" s="32">
        <v>0.027</v>
      </c>
      <c r="E94" s="31">
        <f t="shared" si="1"/>
        <v>2004</v>
      </c>
      <c r="F94" s="31">
        <f t="shared" si="2"/>
        <v>0.6453706867</v>
      </c>
    </row>
    <row r="95">
      <c r="A95" s="24">
        <v>2005.0</v>
      </c>
      <c r="B95" s="24">
        <v>195.3</v>
      </c>
      <c r="C95" s="32">
        <v>0.034</v>
      </c>
      <c r="E95" s="31">
        <f t="shared" si="1"/>
        <v>2005</v>
      </c>
      <c r="F95" s="31">
        <f t="shared" si="2"/>
        <v>0.6672360779</v>
      </c>
    </row>
    <row r="96">
      <c r="A96" s="24">
        <v>2006.0</v>
      </c>
      <c r="B96" s="24">
        <v>201.6</v>
      </c>
      <c r="C96" s="32">
        <v>0.032</v>
      </c>
      <c r="E96" s="31">
        <f t="shared" si="1"/>
        <v>2006</v>
      </c>
      <c r="F96" s="31">
        <f t="shared" si="2"/>
        <v>0.6887598223</v>
      </c>
    </row>
    <row r="97">
      <c r="A97" s="24">
        <v>2007.0</v>
      </c>
      <c r="B97" s="24">
        <v>207.3</v>
      </c>
      <c r="C97" s="32">
        <v>0.029</v>
      </c>
      <c r="E97" s="31">
        <f t="shared" si="1"/>
        <v>2007</v>
      </c>
      <c r="F97" s="31">
        <f t="shared" si="2"/>
        <v>0.7082336864</v>
      </c>
    </row>
    <row r="98">
      <c r="A98" s="24">
        <v>2008.0</v>
      </c>
      <c r="B98" s="24">
        <v>215.3</v>
      </c>
      <c r="C98" s="32">
        <v>0.038</v>
      </c>
      <c r="E98" s="31">
        <f t="shared" si="1"/>
        <v>2008</v>
      </c>
      <c r="F98" s="31">
        <f t="shared" si="2"/>
        <v>0.7355654254</v>
      </c>
    </row>
    <row r="99">
      <c r="A99" s="24">
        <v>2009.0</v>
      </c>
      <c r="B99" s="24">
        <v>214.5</v>
      </c>
      <c r="C99" s="32">
        <v>-0.004</v>
      </c>
      <c r="E99" s="31">
        <f t="shared" si="1"/>
        <v>2009</v>
      </c>
      <c r="F99" s="31">
        <f t="shared" si="2"/>
        <v>0.7328322515</v>
      </c>
    </row>
    <row r="100">
      <c r="A100" s="24">
        <v>2010.0</v>
      </c>
      <c r="B100" s="24">
        <v>218.1</v>
      </c>
      <c r="C100" s="32">
        <v>0.016</v>
      </c>
      <c r="E100" s="31">
        <f t="shared" si="1"/>
        <v>2010</v>
      </c>
      <c r="F100" s="31">
        <f t="shared" si="2"/>
        <v>0.745131534</v>
      </c>
    </row>
    <row r="101">
      <c r="A101" s="24">
        <v>2011.0</v>
      </c>
      <c r="B101" s="24">
        <v>224.9</v>
      </c>
      <c r="C101" s="32">
        <v>0.032</v>
      </c>
      <c r="E101" s="31">
        <f t="shared" si="1"/>
        <v>2011</v>
      </c>
      <c r="F101" s="31">
        <f t="shared" si="2"/>
        <v>0.7683635121</v>
      </c>
    </row>
    <row r="102">
      <c r="A102" s="24">
        <v>2012.0</v>
      </c>
      <c r="B102" s="24">
        <v>229.6</v>
      </c>
      <c r="C102" s="32">
        <v>0.021</v>
      </c>
      <c r="E102" s="31">
        <f t="shared" si="1"/>
        <v>2012</v>
      </c>
      <c r="F102" s="31">
        <f t="shared" si="2"/>
        <v>0.7844209088</v>
      </c>
    </row>
    <row r="103">
      <c r="A103" s="24">
        <v>2013.0</v>
      </c>
      <c r="B103" s="24">
        <v>233.0</v>
      </c>
      <c r="C103" s="32">
        <v>0.015</v>
      </c>
      <c r="E103" s="31">
        <f t="shared" si="1"/>
        <v>2013</v>
      </c>
      <c r="F103" s="31">
        <f t="shared" si="2"/>
        <v>0.7960368978</v>
      </c>
    </row>
    <row r="104">
      <c r="A104" s="24">
        <v>2014.0</v>
      </c>
      <c r="B104" s="24">
        <v>236.7</v>
      </c>
      <c r="C104" s="32">
        <v>0.016</v>
      </c>
      <c r="E104" s="31">
        <f t="shared" si="1"/>
        <v>2014</v>
      </c>
      <c r="F104" s="31">
        <f t="shared" si="2"/>
        <v>0.8086778271</v>
      </c>
    </row>
    <row r="105">
      <c r="A105" s="24">
        <v>2015.0</v>
      </c>
      <c r="B105" s="24">
        <v>237.0</v>
      </c>
      <c r="C105" s="32">
        <v>0.001</v>
      </c>
      <c r="E105" s="31">
        <f t="shared" si="1"/>
        <v>2015</v>
      </c>
      <c r="F105" s="31">
        <f t="shared" si="2"/>
        <v>0.8097027673</v>
      </c>
    </row>
    <row r="106">
      <c r="A106" s="24">
        <v>2016.0</v>
      </c>
      <c r="B106" s="24">
        <v>240.0</v>
      </c>
      <c r="C106" s="32">
        <v>0.013</v>
      </c>
      <c r="E106" s="31">
        <f t="shared" si="1"/>
        <v>2016</v>
      </c>
      <c r="F106" s="31">
        <f t="shared" si="2"/>
        <v>0.8199521695</v>
      </c>
    </row>
    <row r="107">
      <c r="A107" s="24">
        <v>2017.0</v>
      </c>
      <c r="B107" s="24">
        <v>245.1</v>
      </c>
      <c r="C107" s="32">
        <v>0.021</v>
      </c>
      <c r="E107" s="31">
        <f t="shared" si="1"/>
        <v>2017</v>
      </c>
      <c r="F107" s="31">
        <f t="shared" si="2"/>
        <v>0.8373761531</v>
      </c>
    </row>
    <row r="108">
      <c r="A108" s="24">
        <v>2018.0</v>
      </c>
      <c r="B108" s="24">
        <v>251.1</v>
      </c>
      <c r="C108" s="32">
        <v>0.024</v>
      </c>
      <c r="E108" s="31">
        <f t="shared" si="1"/>
        <v>2018</v>
      </c>
      <c r="F108" s="31">
        <f t="shared" si="2"/>
        <v>0.8578749573</v>
      </c>
    </row>
    <row r="109">
      <c r="A109" s="24">
        <v>2019.0</v>
      </c>
      <c r="B109" s="24">
        <v>255.7</v>
      </c>
      <c r="C109" s="32">
        <v>0.018</v>
      </c>
      <c r="E109" s="31">
        <f t="shared" si="1"/>
        <v>2019</v>
      </c>
      <c r="F109" s="31">
        <f t="shared" si="2"/>
        <v>0.8735907072</v>
      </c>
    </row>
    <row r="110">
      <c r="A110" s="24">
        <v>2020.0</v>
      </c>
      <c r="B110" s="24">
        <v>258.8</v>
      </c>
      <c r="C110" s="32">
        <v>0.012</v>
      </c>
      <c r="E110" s="31">
        <f t="shared" si="1"/>
        <v>2020</v>
      </c>
      <c r="F110" s="31">
        <f t="shared" si="2"/>
        <v>0.8841817561</v>
      </c>
    </row>
    <row r="111">
      <c r="A111" s="24">
        <v>2021.0</v>
      </c>
      <c r="B111" s="24">
        <v>271.0</v>
      </c>
      <c r="C111" s="32">
        <v>0.047</v>
      </c>
      <c r="E111" s="31">
        <f t="shared" si="1"/>
        <v>2021</v>
      </c>
      <c r="F111" s="31">
        <f t="shared" si="2"/>
        <v>0.925862658</v>
      </c>
    </row>
    <row r="112">
      <c r="A112" s="24">
        <v>2022.0</v>
      </c>
      <c r="B112" s="24">
        <v>292.7</v>
      </c>
      <c r="C112" s="32">
        <v>0.08</v>
      </c>
      <c r="E112" s="31">
        <f t="shared" si="1"/>
        <v>2022</v>
      </c>
      <c r="F112" s="31">
        <f t="shared" si="2"/>
        <v>1</v>
      </c>
    </row>
    <row r="113">
      <c r="A113" s="24">
        <v>2023.0</v>
      </c>
      <c r="B113" s="24">
        <v>304.7</v>
      </c>
      <c r="C113" s="32">
        <v>0.041</v>
      </c>
      <c r="E113" s="31">
        <f t="shared" si="1"/>
        <v>2023</v>
      </c>
      <c r="F113" s="31">
        <f t="shared" si="2"/>
        <v>1.040997608</v>
      </c>
    </row>
    <row r="114">
      <c r="A114" s="24">
        <v>2024.0</v>
      </c>
      <c r="B114" s="24">
        <v>314.4</v>
      </c>
      <c r="C114" s="32">
        <v>0.032</v>
      </c>
      <c r="E114" s="31">
        <f t="shared" si="1"/>
        <v>2024</v>
      </c>
      <c r="F114" s="31">
        <f t="shared" si="2"/>
        <v>1.074137342</v>
      </c>
    </row>
  </sheetData>
  <mergeCells count="2">
    <mergeCell ref="A1:C1"/>
    <mergeCell ref="E1:G1"/>
  </mergeCells>
  <hyperlinks>
    <hyperlink r:id="rId1" ref="I2"/>
  </hyperlinks>
  <drawing r:id="rId2"/>
</worksheet>
</file>