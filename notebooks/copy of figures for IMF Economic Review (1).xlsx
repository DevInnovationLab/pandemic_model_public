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 Quaade\Downloads\"/>
    </mc:Choice>
  </mc:AlternateContent>
  <xr:revisionPtr revIDLastSave="0" documentId="13_ncr:1_{B1989122-8B0F-42E4-9385-1CE3E2269DC0}" xr6:coauthVersionLast="47" xr6:coauthVersionMax="47" xr10:uidLastSave="{00000000-0000-0000-0000-000000000000}"/>
  <bookViews>
    <workbookView xWindow="-110" yWindow="-110" windowWidth="19420" windowHeight="10300" xr2:uid="{64B77B9E-9FD8-430C-9ADA-CEFF7E640B72}"/>
  </bookViews>
  <sheets>
    <sheet name="Fig 1 exceedence prob" sheetId="1" r:id="rId1"/>
    <sheet name="Fig 2 intensity lo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C33" i="1" s="1"/>
  <c r="C33" i="2"/>
  <c r="C32" i="2"/>
  <c r="D32" i="2" s="1"/>
  <c r="C31" i="2"/>
  <c r="D28" i="2" s="1"/>
  <c r="C30" i="2"/>
  <c r="D30" i="2" s="1"/>
  <c r="C29" i="2"/>
  <c r="D29" i="2" s="1"/>
  <c r="C28" i="2"/>
  <c r="C27" i="2"/>
  <c r="D27" i="2" s="1"/>
  <c r="C26" i="2"/>
  <c r="D26" i="2" s="1"/>
  <c r="C25" i="2"/>
  <c r="C24" i="2"/>
  <c r="D24" i="2" s="1"/>
  <c r="C23" i="2"/>
  <c r="D23" i="2" s="1"/>
  <c r="C22" i="2"/>
  <c r="D22" i="2" s="1"/>
  <c r="C21" i="2"/>
  <c r="D18" i="2" s="1"/>
  <c r="C20" i="2"/>
  <c r="D20" i="2" s="1"/>
  <c r="C19" i="2"/>
  <c r="D19" i="2" s="1"/>
  <c r="C18" i="2"/>
  <c r="C17" i="2"/>
  <c r="D17" i="2" s="1"/>
  <c r="C16" i="2"/>
  <c r="D16" i="2" s="1"/>
  <c r="K7" i="2"/>
  <c r="F7" i="2"/>
  <c r="G7" i="2" s="1"/>
  <c r="D7" i="2"/>
  <c r="K6" i="2"/>
  <c r="H6" i="2"/>
  <c r="F6" i="2"/>
  <c r="D6" i="2"/>
  <c r="K5" i="2"/>
  <c r="G5" i="2"/>
  <c r="F5" i="2"/>
  <c r="D5" i="2"/>
  <c r="K4" i="2"/>
  <c r="F4" i="2"/>
  <c r="G4" i="2" s="1"/>
  <c r="D4" i="2"/>
  <c r="K3" i="2"/>
  <c r="F3" i="2"/>
  <c r="G3" i="2" s="1"/>
  <c r="H3" i="2" s="1"/>
  <c r="D3" i="2"/>
  <c r="D33" i="1" l="1"/>
  <c r="E33" i="1" s="1"/>
  <c r="D21" i="2"/>
  <c r="D31" i="2"/>
  <c r="C34" i="2"/>
  <c r="D25" i="2"/>
  <c r="C208" i="1" l="1"/>
  <c r="D208" i="1"/>
  <c r="E208" i="1" s="1"/>
  <c r="B5" i="1"/>
  <c r="B95" i="1" s="1"/>
  <c r="C95" i="1" s="1"/>
  <c r="B144" i="1" l="1"/>
  <c r="B125" i="1"/>
  <c r="C125" i="1" s="1"/>
  <c r="B191" i="1"/>
  <c r="C191" i="1" s="1"/>
  <c r="B119" i="1"/>
  <c r="D119" i="1" s="1"/>
  <c r="E119" i="1" s="1"/>
  <c r="B186" i="1"/>
  <c r="B168" i="1"/>
  <c r="B143" i="1"/>
  <c r="C143" i="1" s="1"/>
  <c r="B118" i="1"/>
  <c r="C118" i="1" s="1"/>
  <c r="B185" i="1"/>
  <c r="C185" i="1" s="1"/>
  <c r="B167" i="1"/>
  <c r="C167" i="1" s="1"/>
  <c r="B142" i="1"/>
  <c r="C142" i="1" s="1"/>
  <c r="B117" i="1"/>
  <c r="D117" i="1" s="1"/>
  <c r="E117" i="1" s="1"/>
  <c r="B182" i="1"/>
  <c r="C182" i="1" s="1"/>
  <c r="B136" i="1"/>
  <c r="C136" i="1" s="1"/>
  <c r="B204" i="1"/>
  <c r="B181" i="1"/>
  <c r="C181" i="1" s="1"/>
  <c r="B135" i="1"/>
  <c r="C135" i="1" s="1"/>
  <c r="B113" i="1"/>
  <c r="B162" i="1"/>
  <c r="B132" i="1"/>
  <c r="C132" i="1" s="1"/>
  <c r="B106" i="1"/>
  <c r="C106" i="1" s="1"/>
  <c r="B180" i="1"/>
  <c r="B149" i="1"/>
  <c r="C149" i="1" s="1"/>
  <c r="B101" i="1"/>
  <c r="C101" i="1" s="1"/>
  <c r="B179" i="1"/>
  <c r="C179" i="1" s="1"/>
  <c r="B131" i="1"/>
  <c r="B100" i="1"/>
  <c r="C100" i="1" s="1"/>
  <c r="B197" i="1"/>
  <c r="B130" i="1"/>
  <c r="C130" i="1" s="1"/>
  <c r="B94" i="1"/>
  <c r="C94" i="1" s="1"/>
  <c r="B193" i="1"/>
  <c r="C193" i="1" s="1"/>
  <c r="B175" i="1"/>
  <c r="B129" i="1"/>
  <c r="C129" i="1" s="1"/>
  <c r="B192" i="1"/>
  <c r="C192" i="1" s="1"/>
  <c r="B173" i="1"/>
  <c r="D173" i="1" s="1"/>
  <c r="E173" i="1" s="1"/>
  <c r="B148" i="1"/>
  <c r="B126" i="1"/>
  <c r="C126" i="1" s="1"/>
  <c r="B124" i="1"/>
  <c r="D124" i="1" s="1"/>
  <c r="E124" i="1" s="1"/>
  <c r="B90" i="1"/>
  <c r="C90" i="1" s="1"/>
  <c r="B187" i="1"/>
  <c r="D187" i="1" s="1"/>
  <c r="E187" i="1" s="1"/>
  <c r="B174" i="1"/>
  <c r="C174" i="1" s="1"/>
  <c r="B138" i="1"/>
  <c r="B123" i="1"/>
  <c r="C123" i="1" s="1"/>
  <c r="B155" i="1"/>
  <c r="B137" i="1"/>
  <c r="C137" i="1" s="1"/>
  <c r="C119" i="1"/>
  <c r="B93" i="1"/>
  <c r="C93" i="1" s="1"/>
  <c r="B112" i="1"/>
  <c r="B99" i="1"/>
  <c r="B203" i="1"/>
  <c r="B184" i="1"/>
  <c r="C184" i="1" s="1"/>
  <c r="B178" i="1"/>
  <c r="C178" i="1" s="1"/>
  <c r="B172" i="1"/>
  <c r="C172" i="1" s="1"/>
  <c r="B166" i="1"/>
  <c r="B161" i="1"/>
  <c r="B128" i="1"/>
  <c r="C128" i="1" s="1"/>
  <c r="B122" i="1"/>
  <c r="C122" i="1" s="1"/>
  <c r="B111" i="1"/>
  <c r="C111" i="1" s="1"/>
  <c r="B105" i="1"/>
  <c r="B202" i="1"/>
  <c r="C202" i="1" s="1"/>
  <c r="B196" i="1"/>
  <c r="B190" i="1"/>
  <c r="B177" i="1"/>
  <c r="C177" i="1" s="1"/>
  <c r="B171" i="1"/>
  <c r="C171" i="1" s="1"/>
  <c r="B160" i="1"/>
  <c r="C160" i="1" s="1"/>
  <c r="B154" i="1"/>
  <c r="B121" i="1"/>
  <c r="C121" i="1" s="1"/>
  <c r="B104" i="1"/>
  <c r="C104" i="1" s="1"/>
  <c r="B92" i="1"/>
  <c r="B110" i="1"/>
  <c r="B98" i="1"/>
  <c r="B195" i="1"/>
  <c r="C195" i="1" s="1"/>
  <c r="B170" i="1"/>
  <c r="C170" i="1" s="1"/>
  <c r="B153" i="1"/>
  <c r="C153" i="1" s="1"/>
  <c r="B147" i="1"/>
  <c r="B141" i="1"/>
  <c r="B116" i="1"/>
  <c r="B207" i="1"/>
  <c r="D207" i="1" s="1"/>
  <c r="E207" i="1" s="1"/>
  <c r="B201" i="1"/>
  <c r="B165" i="1"/>
  <c r="B159" i="1"/>
  <c r="B146" i="1"/>
  <c r="C146" i="1" s="1"/>
  <c r="B134" i="1"/>
  <c r="B115" i="1"/>
  <c r="C115" i="1" s="1"/>
  <c r="B109" i="1"/>
  <c r="C109" i="1" s="1"/>
  <c r="B103" i="1"/>
  <c r="B206" i="1"/>
  <c r="C206" i="1" s="1"/>
  <c r="B200" i="1"/>
  <c r="C200" i="1" s="1"/>
  <c r="B194" i="1"/>
  <c r="B189" i="1"/>
  <c r="B183" i="1"/>
  <c r="B164" i="1"/>
  <c r="C164" i="1" s="1"/>
  <c r="B158" i="1"/>
  <c r="C158" i="1" s="1"/>
  <c r="B152" i="1"/>
  <c r="B127" i="1"/>
  <c r="B114" i="1"/>
  <c r="C114" i="1" s="1"/>
  <c r="B108" i="1"/>
  <c r="C108" i="1" s="1"/>
  <c r="B97" i="1"/>
  <c r="C97" i="1" s="1"/>
  <c r="B91" i="1"/>
  <c r="B205" i="1"/>
  <c r="C205" i="1" s="1"/>
  <c r="B199" i="1"/>
  <c r="C199" i="1" s="1"/>
  <c r="B188" i="1"/>
  <c r="C188" i="1" s="1"/>
  <c r="B176" i="1"/>
  <c r="B163" i="1"/>
  <c r="C163" i="1" s="1"/>
  <c r="B157" i="1"/>
  <c r="C157" i="1" s="1"/>
  <c r="B151" i="1"/>
  <c r="C151" i="1" s="1"/>
  <c r="B145" i="1"/>
  <c r="B140" i="1"/>
  <c r="B120" i="1"/>
  <c r="B107" i="1"/>
  <c r="C107" i="1" s="1"/>
  <c r="B198" i="1"/>
  <c r="C198" i="1" s="1"/>
  <c r="B169" i="1"/>
  <c r="B156" i="1"/>
  <c r="C156" i="1" s="1"/>
  <c r="B150" i="1"/>
  <c r="C150" i="1" s="1"/>
  <c r="B139" i="1"/>
  <c r="C139" i="1" s="1"/>
  <c r="B133" i="1"/>
  <c r="B102" i="1"/>
  <c r="B96" i="1"/>
  <c r="D95" i="1"/>
  <c r="E95" i="1" s="1"/>
  <c r="D136" i="1"/>
  <c r="E136" i="1" s="1"/>
  <c r="D174" i="1"/>
  <c r="E174" i="1" s="1"/>
  <c r="D125" i="1"/>
  <c r="E125" i="1" s="1"/>
  <c r="D118" i="1"/>
  <c r="E118" i="1" s="1"/>
  <c r="D97" i="1"/>
  <c r="E97" i="1" s="1"/>
  <c r="D90" i="1"/>
  <c r="E90" i="1" s="1"/>
  <c r="B11" i="1"/>
  <c r="B10" i="1"/>
  <c r="B14" i="1"/>
  <c r="B13" i="1"/>
  <c r="B12" i="1"/>
  <c r="B31" i="1"/>
  <c r="B30" i="1"/>
  <c r="B29" i="1"/>
  <c r="B28" i="1"/>
  <c r="B27" i="1"/>
  <c r="B26" i="1"/>
  <c r="B25" i="1"/>
  <c r="B24" i="1"/>
  <c r="B22" i="1"/>
  <c r="B21" i="1"/>
  <c r="B20" i="1"/>
  <c r="B19" i="1"/>
  <c r="B18" i="1"/>
  <c r="B16" i="1"/>
  <c r="B15" i="1"/>
  <c r="B17" i="1"/>
  <c r="B8" i="1"/>
  <c r="B9" i="1"/>
  <c r="B23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7" i="1"/>
  <c r="D111" i="1" l="1"/>
  <c r="E111" i="1" s="1"/>
  <c r="D142" i="1"/>
  <c r="E142" i="1" s="1"/>
  <c r="D94" i="1"/>
  <c r="E94" i="1" s="1"/>
  <c r="D129" i="1"/>
  <c r="E129" i="1" s="1"/>
  <c r="D143" i="1"/>
  <c r="E143" i="1" s="1"/>
  <c r="D157" i="1"/>
  <c r="E157" i="1" s="1"/>
  <c r="C124" i="1"/>
  <c r="C173" i="1"/>
  <c r="D160" i="1"/>
  <c r="E160" i="1" s="1"/>
  <c r="D185" i="1"/>
  <c r="E185" i="1" s="1"/>
  <c r="D170" i="1"/>
  <c r="E170" i="1" s="1"/>
  <c r="D130" i="1"/>
  <c r="E130" i="1" s="1"/>
  <c r="D128" i="1"/>
  <c r="E128" i="1" s="1"/>
  <c r="D123" i="1"/>
  <c r="E123" i="1" s="1"/>
  <c r="D191" i="1"/>
  <c r="E191" i="1" s="1"/>
  <c r="D106" i="1"/>
  <c r="E106" i="1" s="1"/>
  <c r="D135" i="1"/>
  <c r="E135" i="1" s="1"/>
  <c r="C117" i="1"/>
  <c r="C144" i="1"/>
  <c r="D144" i="1"/>
  <c r="E144" i="1" s="1"/>
  <c r="D100" i="1"/>
  <c r="E100" i="1" s="1"/>
  <c r="C148" i="1"/>
  <c r="D148" i="1"/>
  <c r="E148" i="1" s="1"/>
  <c r="D132" i="1"/>
  <c r="E132" i="1" s="1"/>
  <c r="C187" i="1"/>
  <c r="D182" i="1"/>
  <c r="E182" i="1" s="1"/>
  <c r="D149" i="1"/>
  <c r="E149" i="1" s="1"/>
  <c r="D193" i="1"/>
  <c r="E193" i="1" s="1"/>
  <c r="D180" i="1"/>
  <c r="E180" i="1" s="1"/>
  <c r="C180" i="1"/>
  <c r="D167" i="1"/>
  <c r="E167" i="1" s="1"/>
  <c r="D192" i="1"/>
  <c r="E192" i="1" s="1"/>
  <c r="D137" i="1"/>
  <c r="E137" i="1" s="1"/>
  <c r="C197" i="1"/>
  <c r="D197" i="1"/>
  <c r="E197" i="1" s="1"/>
  <c r="C204" i="1"/>
  <c r="D204" i="1"/>
  <c r="E204" i="1" s="1"/>
  <c r="D131" i="1"/>
  <c r="E131" i="1" s="1"/>
  <c r="C131" i="1"/>
  <c r="D151" i="1"/>
  <c r="E151" i="1" s="1"/>
  <c r="D175" i="1"/>
  <c r="E175" i="1" s="1"/>
  <c r="C175" i="1"/>
  <c r="D181" i="1"/>
  <c r="E181" i="1" s="1"/>
  <c r="D101" i="1"/>
  <c r="E101" i="1" s="1"/>
  <c r="D179" i="1"/>
  <c r="E179" i="1" s="1"/>
  <c r="C162" i="1"/>
  <c r="D162" i="1"/>
  <c r="E162" i="1" s="1"/>
  <c r="D195" i="1"/>
  <c r="E195" i="1" s="1"/>
  <c r="D115" i="1"/>
  <c r="E115" i="1" s="1"/>
  <c r="D126" i="1"/>
  <c r="E126" i="1" s="1"/>
  <c r="D113" i="1"/>
  <c r="E113" i="1" s="1"/>
  <c r="C113" i="1"/>
  <c r="C168" i="1"/>
  <c r="D168" i="1"/>
  <c r="E168" i="1" s="1"/>
  <c r="D202" i="1"/>
  <c r="E202" i="1" s="1"/>
  <c r="C186" i="1"/>
  <c r="D186" i="1"/>
  <c r="E186" i="1" s="1"/>
  <c r="D122" i="1"/>
  <c r="E122" i="1" s="1"/>
  <c r="D156" i="1"/>
  <c r="E156" i="1" s="1"/>
  <c r="D158" i="1"/>
  <c r="E158" i="1" s="1"/>
  <c r="C155" i="1"/>
  <c r="D155" i="1"/>
  <c r="E155" i="1" s="1"/>
  <c r="D163" i="1"/>
  <c r="E163" i="1" s="1"/>
  <c r="D171" i="1"/>
  <c r="E171" i="1" s="1"/>
  <c r="D93" i="1"/>
  <c r="E93" i="1" s="1"/>
  <c r="D178" i="1"/>
  <c r="E178" i="1" s="1"/>
  <c r="D107" i="1"/>
  <c r="E107" i="1" s="1"/>
  <c r="D172" i="1"/>
  <c r="E172" i="1" s="1"/>
  <c r="D104" i="1"/>
  <c r="E104" i="1" s="1"/>
  <c r="D198" i="1"/>
  <c r="E198" i="1" s="1"/>
  <c r="D164" i="1"/>
  <c r="E164" i="1" s="1"/>
  <c r="D138" i="1"/>
  <c r="E138" i="1" s="1"/>
  <c r="C138" i="1"/>
  <c r="D206" i="1"/>
  <c r="E206" i="1" s="1"/>
  <c r="D153" i="1"/>
  <c r="E153" i="1" s="1"/>
  <c r="D114" i="1"/>
  <c r="E114" i="1" s="1"/>
  <c r="D108" i="1"/>
  <c r="E108" i="1" s="1"/>
  <c r="D109" i="1"/>
  <c r="E109" i="1" s="1"/>
  <c r="C183" i="1"/>
  <c r="D183" i="1"/>
  <c r="E183" i="1" s="1"/>
  <c r="D161" i="1"/>
  <c r="E161" i="1" s="1"/>
  <c r="C161" i="1"/>
  <c r="C116" i="1"/>
  <c r="D116" i="1"/>
  <c r="E116" i="1" s="1"/>
  <c r="D121" i="1"/>
  <c r="E121" i="1" s="1"/>
  <c r="C120" i="1"/>
  <c r="D120" i="1"/>
  <c r="E120" i="1" s="1"/>
  <c r="C147" i="1"/>
  <c r="D147" i="1"/>
  <c r="E147" i="1" s="1"/>
  <c r="D188" i="1"/>
  <c r="E188" i="1" s="1"/>
  <c r="D96" i="1"/>
  <c r="E96" i="1" s="1"/>
  <c r="C96" i="1"/>
  <c r="D103" i="1"/>
  <c r="E103" i="1" s="1"/>
  <c r="C103" i="1"/>
  <c r="C190" i="1"/>
  <c r="D190" i="1"/>
  <c r="E190" i="1" s="1"/>
  <c r="D203" i="1"/>
  <c r="E203" i="1" s="1"/>
  <c r="C203" i="1"/>
  <c r="C207" i="1"/>
  <c r="C102" i="1"/>
  <c r="D102" i="1"/>
  <c r="E102" i="1" s="1"/>
  <c r="C140" i="1"/>
  <c r="D140" i="1"/>
  <c r="E140" i="1" s="1"/>
  <c r="C196" i="1"/>
  <c r="D196" i="1"/>
  <c r="E196" i="1" s="1"/>
  <c r="C99" i="1"/>
  <c r="D99" i="1"/>
  <c r="E99" i="1" s="1"/>
  <c r="C133" i="1"/>
  <c r="D133" i="1"/>
  <c r="E133" i="1" s="1"/>
  <c r="D145" i="1"/>
  <c r="E145" i="1" s="1"/>
  <c r="C145" i="1"/>
  <c r="C154" i="1"/>
  <c r="D154" i="1"/>
  <c r="E154" i="1" s="1"/>
  <c r="D194" i="1"/>
  <c r="E194" i="1" s="1"/>
  <c r="C194" i="1"/>
  <c r="C91" i="1"/>
  <c r="D91" i="1"/>
  <c r="E91" i="1" s="1"/>
  <c r="C127" i="1"/>
  <c r="D127" i="1"/>
  <c r="E127" i="1" s="1"/>
  <c r="C98" i="1"/>
  <c r="D98" i="1"/>
  <c r="E98" i="1" s="1"/>
  <c r="D139" i="1"/>
  <c r="E139" i="1" s="1"/>
  <c r="D205" i="1"/>
  <c r="E205" i="1" s="1"/>
  <c r="D177" i="1"/>
  <c r="E177" i="1" s="1"/>
  <c r="D159" i="1"/>
  <c r="E159" i="1" s="1"/>
  <c r="C159" i="1"/>
  <c r="C92" i="1"/>
  <c r="D92" i="1"/>
  <c r="E92" i="1" s="1"/>
  <c r="D201" i="1"/>
  <c r="E201" i="1" s="1"/>
  <c r="C201" i="1"/>
  <c r="C189" i="1"/>
  <c r="D189" i="1"/>
  <c r="E189" i="1" s="1"/>
  <c r="D166" i="1"/>
  <c r="E166" i="1" s="1"/>
  <c r="C166" i="1"/>
  <c r="C141" i="1"/>
  <c r="D141" i="1"/>
  <c r="E141" i="1" s="1"/>
  <c r="D200" i="1"/>
  <c r="E200" i="1" s="1"/>
  <c r="D199" i="1"/>
  <c r="E199" i="1" s="1"/>
  <c r="C134" i="1"/>
  <c r="D134" i="1"/>
  <c r="E134" i="1" s="1"/>
  <c r="C105" i="1"/>
  <c r="D105" i="1"/>
  <c r="E105" i="1" s="1"/>
  <c r="D152" i="1"/>
  <c r="E152" i="1" s="1"/>
  <c r="C152" i="1"/>
  <c r="D110" i="1"/>
  <c r="E110" i="1" s="1"/>
  <c r="C110" i="1"/>
  <c r="D112" i="1"/>
  <c r="E112" i="1" s="1"/>
  <c r="C112" i="1"/>
  <c r="D146" i="1"/>
  <c r="E146" i="1" s="1"/>
  <c r="D184" i="1"/>
  <c r="E184" i="1" s="1"/>
  <c r="D150" i="1"/>
  <c r="E150" i="1" s="1"/>
  <c r="C169" i="1"/>
  <c r="D169" i="1"/>
  <c r="E169" i="1" s="1"/>
  <c r="C176" i="1"/>
  <c r="D176" i="1"/>
  <c r="E176" i="1" s="1"/>
  <c r="C165" i="1"/>
  <c r="D165" i="1"/>
  <c r="E165" i="1" s="1"/>
  <c r="C36" i="1"/>
  <c r="D36" i="1"/>
  <c r="E36" i="1" s="1"/>
  <c r="C53" i="1"/>
  <c r="D53" i="1"/>
  <c r="E53" i="1" s="1"/>
  <c r="C73" i="1"/>
  <c r="D73" i="1"/>
  <c r="E73" i="1" s="1"/>
  <c r="C69" i="1"/>
  <c r="D69" i="1"/>
  <c r="E69" i="1" s="1"/>
  <c r="C38" i="1"/>
  <c r="D38" i="1"/>
  <c r="E38" i="1" s="1"/>
  <c r="C64" i="1"/>
  <c r="D64" i="1"/>
  <c r="E64" i="1" s="1"/>
  <c r="C63" i="1"/>
  <c r="D63" i="1"/>
  <c r="E63" i="1" s="1"/>
  <c r="C35" i="1"/>
  <c r="D35" i="1"/>
  <c r="E35" i="1" s="1"/>
  <c r="C52" i="1"/>
  <c r="D52" i="1"/>
  <c r="E52" i="1" s="1"/>
  <c r="C41" i="1"/>
  <c r="D41" i="1"/>
  <c r="E41" i="1" s="1"/>
  <c r="C66" i="1"/>
  <c r="D66" i="1"/>
  <c r="E66" i="1" s="1"/>
  <c r="C62" i="1"/>
  <c r="D62" i="1"/>
  <c r="E62" i="1" s="1"/>
  <c r="C34" i="1"/>
  <c r="D34" i="1"/>
  <c r="E34" i="1" s="1"/>
  <c r="C45" i="1"/>
  <c r="D45" i="1"/>
  <c r="E45" i="1" s="1"/>
  <c r="C39" i="1"/>
  <c r="D39" i="1"/>
  <c r="E39" i="1" s="1"/>
  <c r="C7" i="1"/>
  <c r="D7" i="1"/>
  <c r="E7" i="1" s="1"/>
  <c r="C89" i="1"/>
  <c r="D89" i="1"/>
  <c r="E89" i="1" s="1"/>
  <c r="C61" i="1"/>
  <c r="D61" i="1"/>
  <c r="E61" i="1" s="1"/>
  <c r="C32" i="1"/>
  <c r="D32" i="1"/>
  <c r="E32" i="1" s="1"/>
  <c r="C50" i="1"/>
  <c r="D50" i="1"/>
  <c r="E50" i="1" s="1"/>
  <c r="C43" i="1"/>
  <c r="D43" i="1"/>
  <c r="E43" i="1" s="1"/>
  <c r="C67" i="1"/>
  <c r="D67" i="1"/>
  <c r="E67" i="1" s="1"/>
  <c r="C60" i="1"/>
  <c r="D60" i="1"/>
  <c r="E60" i="1" s="1"/>
  <c r="C23" i="1"/>
  <c r="D23" i="1"/>
  <c r="E23" i="1" s="1"/>
  <c r="C44" i="1"/>
  <c r="D44" i="1"/>
  <c r="E44" i="1" s="1"/>
  <c r="C68" i="1"/>
  <c r="D68" i="1"/>
  <c r="E68" i="1" s="1"/>
  <c r="C65" i="1"/>
  <c r="D65" i="1"/>
  <c r="E65" i="1" s="1"/>
  <c r="C88" i="1"/>
  <c r="D88" i="1"/>
  <c r="E88" i="1" s="1"/>
  <c r="C87" i="1"/>
  <c r="D87" i="1"/>
  <c r="E87" i="1" s="1"/>
  <c r="C59" i="1"/>
  <c r="D59" i="1"/>
  <c r="E59" i="1" s="1"/>
  <c r="C9" i="1"/>
  <c r="D9" i="1"/>
  <c r="E9" i="1" s="1"/>
  <c r="C58" i="1"/>
  <c r="D58" i="1"/>
  <c r="E58" i="1" s="1"/>
  <c r="C8" i="1"/>
  <c r="D8" i="1"/>
  <c r="E8" i="1" s="1"/>
  <c r="C78" i="1"/>
  <c r="D78" i="1"/>
  <c r="E78" i="1" s="1"/>
  <c r="C71" i="1"/>
  <c r="D71" i="1"/>
  <c r="E71" i="1" s="1"/>
  <c r="C86" i="1"/>
  <c r="D86" i="1"/>
  <c r="E86" i="1" s="1"/>
  <c r="C85" i="1"/>
  <c r="D85" i="1"/>
  <c r="E85" i="1" s="1"/>
  <c r="C57" i="1"/>
  <c r="D57" i="1"/>
  <c r="E57" i="1" s="1"/>
  <c r="C17" i="1"/>
  <c r="D17" i="1"/>
  <c r="E17" i="1" s="1"/>
  <c r="C15" i="1"/>
  <c r="D15" i="1"/>
  <c r="E15" i="1" s="1"/>
  <c r="C16" i="1"/>
  <c r="D16" i="1"/>
  <c r="E16" i="1" s="1"/>
  <c r="C81" i="1"/>
  <c r="D81" i="1"/>
  <c r="E81" i="1" s="1"/>
  <c r="C84" i="1"/>
  <c r="D84" i="1"/>
  <c r="E84" i="1" s="1"/>
  <c r="C56" i="1"/>
  <c r="D56" i="1"/>
  <c r="E56" i="1" s="1"/>
  <c r="C83" i="1"/>
  <c r="D83" i="1"/>
  <c r="E83" i="1" s="1"/>
  <c r="C55" i="1"/>
  <c r="D55" i="1"/>
  <c r="E55" i="1" s="1"/>
  <c r="C82" i="1"/>
  <c r="D82" i="1"/>
  <c r="E82" i="1" s="1"/>
  <c r="C54" i="1"/>
  <c r="D54" i="1"/>
  <c r="E54" i="1" s="1"/>
  <c r="C18" i="1"/>
  <c r="D18" i="1"/>
  <c r="E18" i="1" s="1"/>
  <c r="C19" i="1"/>
  <c r="D19" i="1"/>
  <c r="E19" i="1" s="1"/>
  <c r="C20" i="1"/>
  <c r="D20" i="1"/>
  <c r="E20" i="1" s="1"/>
  <c r="C79" i="1"/>
  <c r="D79" i="1"/>
  <c r="E79" i="1" s="1"/>
  <c r="C51" i="1"/>
  <c r="D51" i="1"/>
  <c r="E51" i="1" s="1"/>
  <c r="C21" i="1"/>
  <c r="D21" i="1"/>
  <c r="E21" i="1" s="1"/>
  <c r="C22" i="1"/>
  <c r="D22" i="1"/>
  <c r="E22" i="1" s="1"/>
  <c r="C24" i="1"/>
  <c r="D24" i="1"/>
  <c r="E24" i="1" s="1"/>
  <c r="C77" i="1"/>
  <c r="D77" i="1"/>
  <c r="E77" i="1" s="1"/>
  <c r="C76" i="1"/>
  <c r="D76" i="1"/>
  <c r="E76" i="1" s="1"/>
  <c r="C25" i="1"/>
  <c r="D25" i="1"/>
  <c r="E25" i="1" s="1"/>
  <c r="C49" i="1"/>
  <c r="D49" i="1"/>
  <c r="E49" i="1" s="1"/>
  <c r="C48" i="1"/>
  <c r="D48" i="1"/>
  <c r="E48" i="1" s="1"/>
  <c r="C75" i="1"/>
  <c r="D75" i="1"/>
  <c r="E75" i="1" s="1"/>
  <c r="C47" i="1"/>
  <c r="D47" i="1"/>
  <c r="E47" i="1" s="1"/>
  <c r="C26" i="1"/>
  <c r="D26" i="1"/>
  <c r="E26" i="1" s="1"/>
  <c r="C27" i="1"/>
  <c r="D27" i="1"/>
  <c r="E27" i="1" s="1"/>
  <c r="C28" i="1"/>
  <c r="D28" i="1"/>
  <c r="E28" i="1" s="1"/>
  <c r="C29" i="1"/>
  <c r="D29" i="1"/>
  <c r="E29" i="1" s="1"/>
  <c r="C30" i="1"/>
  <c r="D30" i="1"/>
  <c r="E30" i="1" s="1"/>
  <c r="C46" i="1"/>
  <c r="D46" i="1"/>
  <c r="E46" i="1" s="1"/>
  <c r="C70" i="1"/>
  <c r="D70" i="1"/>
  <c r="E70" i="1" s="1"/>
  <c r="C42" i="1"/>
  <c r="D42" i="1"/>
  <c r="E42" i="1" s="1"/>
  <c r="C31" i="1"/>
  <c r="D31" i="1"/>
  <c r="E31" i="1" s="1"/>
  <c r="C80" i="1"/>
  <c r="D80" i="1"/>
  <c r="E80" i="1" s="1"/>
  <c r="C12" i="1"/>
  <c r="D12" i="1"/>
  <c r="E12" i="1" s="1"/>
  <c r="C13" i="1"/>
  <c r="D13" i="1"/>
  <c r="E13" i="1" s="1"/>
  <c r="C14" i="1"/>
  <c r="D14" i="1"/>
  <c r="E14" i="1" s="1"/>
  <c r="C10" i="1"/>
  <c r="D10" i="1"/>
  <c r="E10" i="1" s="1"/>
  <c r="C74" i="1"/>
  <c r="D74" i="1"/>
  <c r="E74" i="1" s="1"/>
  <c r="C72" i="1"/>
  <c r="D72" i="1"/>
  <c r="E72" i="1" s="1"/>
  <c r="C40" i="1"/>
  <c r="D40" i="1"/>
  <c r="E40" i="1" s="1"/>
  <c r="C37" i="1"/>
  <c r="D37" i="1"/>
  <c r="E37" i="1" s="1"/>
  <c r="C11" i="1"/>
  <c r="D11" i="1"/>
  <c r="E11" i="1" s="1"/>
</calcChain>
</file>

<file path=xl/sharedStrings.xml><?xml version="1.0" encoding="utf-8"?>
<sst xmlns="http://schemas.openxmlformats.org/spreadsheetml/2006/main" count="28" uniqueCount="28">
  <si>
    <t>alpha</t>
  </si>
  <si>
    <t>xi</t>
  </si>
  <si>
    <t>sigma</t>
  </si>
  <si>
    <t>muprime</t>
  </si>
  <si>
    <t>intensity</t>
  </si>
  <si>
    <t>cdf</t>
  </si>
  <si>
    <t>muprimprime</t>
  </si>
  <si>
    <t>ccdf</t>
  </si>
  <si>
    <t>cdf0</t>
  </si>
  <si>
    <t>ccdf0</t>
  </si>
  <si>
    <t>Disease</t>
  </si>
  <si>
    <t>Start Date</t>
  </si>
  <si>
    <t>Emd Date</t>
  </si>
  <si>
    <t>Duration</t>
  </si>
  <si>
    <t>Mortality</t>
  </si>
  <si>
    <t>Mortaliy (mil)</t>
  </si>
  <si>
    <t>Annual mortality (mil)</t>
  </si>
  <si>
    <t>Intensity</t>
  </si>
  <si>
    <t>GDP Losses per Year (bil $)</t>
  </si>
  <si>
    <t>GDP proportional loss per year</t>
  </si>
  <si>
    <t>GDP percentage loss per year</t>
  </si>
  <si>
    <t>Zika</t>
  </si>
  <si>
    <t>SARS</t>
  </si>
  <si>
    <t>Ebola</t>
  </si>
  <si>
    <t>Covid-19</t>
  </si>
  <si>
    <t>1918 flu</t>
  </si>
  <si>
    <t>Year</t>
  </si>
  <si>
    <t>GDP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</si>
</sst>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 1 exceedence prob'!$A$8:$A$208</c:f>
              <c:numCache>
                <c:formatCode>General</c:formatCode>
                <c:ptCount val="201"/>
                <c:pt idx="0">
                  <c:v>1E-4</c:v>
                </c:pt>
                <c:pt idx="1">
                  <c:v>1E-3</c:v>
                </c:pt>
                <c:pt idx="2">
                  <c:v>1.1000000000000001E-3</c:v>
                </c:pt>
                <c:pt idx="3">
                  <c:v>1.1999999999999999E-3</c:v>
                </c:pt>
                <c:pt idx="4">
                  <c:v>1.5E-3</c:v>
                </c:pt>
                <c:pt idx="5">
                  <c:v>1.75E-3</c:v>
                </c:pt>
                <c:pt idx="6">
                  <c:v>1.8E-3</c:v>
                </c:pt>
                <c:pt idx="7">
                  <c:v>2E-3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6.0000000000000001E-3</c:v>
                </c:pt>
                <c:pt idx="12">
                  <c:v>7.0000000000000001E-3</c:v>
                </c:pt>
                <c:pt idx="13">
                  <c:v>8.0000000000000002E-3</c:v>
                </c:pt>
                <c:pt idx="14">
                  <c:v>8.9999999999999993E-3</c:v>
                </c:pt>
                <c:pt idx="15">
                  <c:v>0.01</c:v>
                </c:pt>
                <c:pt idx="16">
                  <c:v>0.02</c:v>
                </c:pt>
                <c:pt idx="17">
                  <c:v>0.03</c:v>
                </c:pt>
                <c:pt idx="18">
                  <c:v>0.04</c:v>
                </c:pt>
                <c:pt idx="19">
                  <c:v>0.05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0.08</c:v>
                </c:pt>
                <c:pt idx="23">
                  <c:v>0.09</c:v>
                </c:pt>
                <c:pt idx="24">
                  <c:v>0.1</c:v>
                </c:pt>
                <c:pt idx="25">
                  <c:v>0.16</c:v>
                </c:pt>
                <c:pt idx="26">
                  <c:v>0.2</c:v>
                </c:pt>
                <c:pt idx="27">
                  <c:v>0.3</c:v>
                </c:pt>
                <c:pt idx="28">
                  <c:v>0.4</c:v>
                </c:pt>
                <c:pt idx="29">
                  <c:v>0.5</c:v>
                </c:pt>
                <c:pt idx="30">
                  <c:v>0.6</c:v>
                </c:pt>
                <c:pt idx="31">
                  <c:v>0.7</c:v>
                </c:pt>
                <c:pt idx="32">
                  <c:v>0.8</c:v>
                </c:pt>
                <c:pt idx="33">
                  <c:v>0.9</c:v>
                </c:pt>
                <c:pt idx="34">
                  <c:v>1</c:v>
                </c:pt>
                <c:pt idx="35">
                  <c:v>1.1000000000000001</c:v>
                </c:pt>
                <c:pt idx="36">
                  <c:v>1.2</c:v>
                </c:pt>
                <c:pt idx="37">
                  <c:v>1.3</c:v>
                </c:pt>
                <c:pt idx="38">
                  <c:v>1.4</c:v>
                </c:pt>
                <c:pt idx="39">
                  <c:v>1.5</c:v>
                </c:pt>
                <c:pt idx="40">
                  <c:v>1.6</c:v>
                </c:pt>
                <c:pt idx="41">
                  <c:v>1.7</c:v>
                </c:pt>
                <c:pt idx="42">
                  <c:v>1.8</c:v>
                </c:pt>
                <c:pt idx="43">
                  <c:v>1.9</c:v>
                </c:pt>
                <c:pt idx="44">
                  <c:v>2</c:v>
                </c:pt>
                <c:pt idx="45">
                  <c:v>2.1</c:v>
                </c:pt>
                <c:pt idx="46">
                  <c:v>2.2000000000000002</c:v>
                </c:pt>
                <c:pt idx="47">
                  <c:v>2.2999999999999998</c:v>
                </c:pt>
                <c:pt idx="48">
                  <c:v>2.4</c:v>
                </c:pt>
                <c:pt idx="49">
                  <c:v>2.5</c:v>
                </c:pt>
                <c:pt idx="50">
                  <c:v>2.6</c:v>
                </c:pt>
                <c:pt idx="51">
                  <c:v>2.7</c:v>
                </c:pt>
                <c:pt idx="52">
                  <c:v>2.8</c:v>
                </c:pt>
                <c:pt idx="53">
                  <c:v>2.9</c:v>
                </c:pt>
                <c:pt idx="54">
                  <c:v>3</c:v>
                </c:pt>
                <c:pt idx="55">
                  <c:v>3.1</c:v>
                </c:pt>
                <c:pt idx="56">
                  <c:v>3.2</c:v>
                </c:pt>
                <c:pt idx="57">
                  <c:v>3.3</c:v>
                </c:pt>
                <c:pt idx="58">
                  <c:v>3.4</c:v>
                </c:pt>
                <c:pt idx="59">
                  <c:v>3.5</c:v>
                </c:pt>
                <c:pt idx="60">
                  <c:v>3.6</c:v>
                </c:pt>
                <c:pt idx="61">
                  <c:v>3.7</c:v>
                </c:pt>
                <c:pt idx="62">
                  <c:v>3.8</c:v>
                </c:pt>
                <c:pt idx="63">
                  <c:v>3.9</c:v>
                </c:pt>
                <c:pt idx="64">
                  <c:v>4</c:v>
                </c:pt>
                <c:pt idx="65">
                  <c:v>4.0999999999999996</c:v>
                </c:pt>
                <c:pt idx="66">
                  <c:v>4.2</c:v>
                </c:pt>
                <c:pt idx="67">
                  <c:v>4.3</c:v>
                </c:pt>
                <c:pt idx="68">
                  <c:v>4.4000000000000004</c:v>
                </c:pt>
                <c:pt idx="69">
                  <c:v>4.5</c:v>
                </c:pt>
                <c:pt idx="70">
                  <c:v>4.5999999999999996</c:v>
                </c:pt>
                <c:pt idx="71">
                  <c:v>4.7</c:v>
                </c:pt>
                <c:pt idx="72">
                  <c:v>4.8</c:v>
                </c:pt>
                <c:pt idx="73">
                  <c:v>4.9000000000000004</c:v>
                </c:pt>
                <c:pt idx="74">
                  <c:v>5</c:v>
                </c:pt>
                <c:pt idx="75">
                  <c:v>5.0999999999999996</c:v>
                </c:pt>
                <c:pt idx="76">
                  <c:v>5.2</c:v>
                </c:pt>
                <c:pt idx="77">
                  <c:v>5.3</c:v>
                </c:pt>
                <c:pt idx="78">
                  <c:v>5.4</c:v>
                </c:pt>
                <c:pt idx="79">
                  <c:v>5.5</c:v>
                </c:pt>
                <c:pt idx="80">
                  <c:v>5.6</c:v>
                </c:pt>
                <c:pt idx="81">
                  <c:v>5.7</c:v>
                </c:pt>
                <c:pt idx="82">
                  <c:v>5.8</c:v>
                </c:pt>
                <c:pt idx="83">
                  <c:v>5.9</c:v>
                </c:pt>
                <c:pt idx="84">
                  <c:v>6</c:v>
                </c:pt>
                <c:pt idx="85">
                  <c:v>6.1</c:v>
                </c:pt>
                <c:pt idx="86">
                  <c:v>6.2</c:v>
                </c:pt>
                <c:pt idx="87">
                  <c:v>6.3</c:v>
                </c:pt>
                <c:pt idx="88">
                  <c:v>6.4</c:v>
                </c:pt>
                <c:pt idx="89">
                  <c:v>6.5</c:v>
                </c:pt>
                <c:pt idx="90">
                  <c:v>6.6</c:v>
                </c:pt>
                <c:pt idx="91">
                  <c:v>6.7</c:v>
                </c:pt>
                <c:pt idx="92">
                  <c:v>6.8</c:v>
                </c:pt>
                <c:pt idx="93">
                  <c:v>6.9</c:v>
                </c:pt>
                <c:pt idx="94">
                  <c:v>6.9999999999999902</c:v>
                </c:pt>
                <c:pt idx="95">
                  <c:v>7.0999999999999899</c:v>
                </c:pt>
                <c:pt idx="96">
                  <c:v>7.1999999999999904</c:v>
                </c:pt>
                <c:pt idx="97">
                  <c:v>7.2999999999999901</c:v>
                </c:pt>
                <c:pt idx="98">
                  <c:v>7.3999999999999897</c:v>
                </c:pt>
                <c:pt idx="99">
                  <c:v>7.4999999999999902</c:v>
                </c:pt>
                <c:pt idx="100">
                  <c:v>7.5999999999999899</c:v>
                </c:pt>
                <c:pt idx="101">
                  <c:v>7.6999999999999904</c:v>
                </c:pt>
                <c:pt idx="102">
                  <c:v>7.7999999999999901</c:v>
                </c:pt>
                <c:pt idx="103">
                  <c:v>7.8999999999999897</c:v>
                </c:pt>
                <c:pt idx="104">
                  <c:v>7.9999999999999902</c:v>
                </c:pt>
                <c:pt idx="105">
                  <c:v>8.0999999999999908</c:v>
                </c:pt>
                <c:pt idx="106">
                  <c:v>8.1999999999999904</c:v>
                </c:pt>
                <c:pt idx="107">
                  <c:v>8.2999999999999901</c:v>
                </c:pt>
                <c:pt idx="108">
                  <c:v>8.3999999999999897</c:v>
                </c:pt>
                <c:pt idx="109">
                  <c:v>8.4999999999999893</c:v>
                </c:pt>
                <c:pt idx="110">
                  <c:v>8.5999999999999908</c:v>
                </c:pt>
                <c:pt idx="111">
                  <c:v>8.6999999999999904</c:v>
                </c:pt>
                <c:pt idx="112">
                  <c:v>8.7999999999999901</c:v>
                </c:pt>
                <c:pt idx="113">
                  <c:v>8.8999999999999897</c:v>
                </c:pt>
                <c:pt idx="114">
                  <c:v>8.9999999999999893</c:v>
                </c:pt>
                <c:pt idx="115">
                  <c:v>9.0999999999999908</c:v>
                </c:pt>
                <c:pt idx="116">
                  <c:v>9.1999999999999904</c:v>
                </c:pt>
                <c:pt idx="117">
                  <c:v>9.2999999999999901</c:v>
                </c:pt>
                <c:pt idx="118">
                  <c:v>9.3999999999999897</c:v>
                </c:pt>
                <c:pt idx="119">
                  <c:v>9.4999999999999893</c:v>
                </c:pt>
                <c:pt idx="120">
                  <c:v>9.5999999999999908</c:v>
                </c:pt>
                <c:pt idx="121">
                  <c:v>9.6999999999999904</c:v>
                </c:pt>
                <c:pt idx="122">
                  <c:v>9.7999999999999794</c:v>
                </c:pt>
                <c:pt idx="123">
                  <c:v>9.8999999999999808</c:v>
                </c:pt>
                <c:pt idx="124">
                  <c:v>9.9999999999999805</c:v>
                </c:pt>
                <c:pt idx="125">
                  <c:v>10.1</c:v>
                </c:pt>
                <c:pt idx="126">
                  <c:v>10.199999999999999</c:v>
                </c:pt>
                <c:pt idx="127">
                  <c:v>10.3</c:v>
                </c:pt>
                <c:pt idx="128">
                  <c:v>10.4</c:v>
                </c:pt>
                <c:pt idx="129">
                  <c:v>10.5</c:v>
                </c:pt>
                <c:pt idx="130">
                  <c:v>10.6</c:v>
                </c:pt>
                <c:pt idx="131">
                  <c:v>10.7</c:v>
                </c:pt>
                <c:pt idx="132">
                  <c:v>10.8</c:v>
                </c:pt>
                <c:pt idx="133">
                  <c:v>10.9</c:v>
                </c:pt>
                <c:pt idx="134">
                  <c:v>11</c:v>
                </c:pt>
                <c:pt idx="135">
                  <c:v>11.1</c:v>
                </c:pt>
                <c:pt idx="136">
                  <c:v>11.2</c:v>
                </c:pt>
                <c:pt idx="137">
                  <c:v>11.3</c:v>
                </c:pt>
                <c:pt idx="138">
                  <c:v>11.4</c:v>
                </c:pt>
                <c:pt idx="139">
                  <c:v>11.5</c:v>
                </c:pt>
                <c:pt idx="140">
                  <c:v>11.6</c:v>
                </c:pt>
                <c:pt idx="141">
                  <c:v>11.7</c:v>
                </c:pt>
                <c:pt idx="142">
                  <c:v>11.8</c:v>
                </c:pt>
                <c:pt idx="143">
                  <c:v>11.9</c:v>
                </c:pt>
                <c:pt idx="144">
                  <c:v>12</c:v>
                </c:pt>
                <c:pt idx="145">
                  <c:v>12.1</c:v>
                </c:pt>
                <c:pt idx="146">
                  <c:v>12.2</c:v>
                </c:pt>
                <c:pt idx="147">
                  <c:v>12.3</c:v>
                </c:pt>
                <c:pt idx="148">
                  <c:v>12.4</c:v>
                </c:pt>
                <c:pt idx="149">
                  <c:v>12.5</c:v>
                </c:pt>
                <c:pt idx="150">
                  <c:v>12.6</c:v>
                </c:pt>
                <c:pt idx="151">
                  <c:v>12.7</c:v>
                </c:pt>
                <c:pt idx="152">
                  <c:v>12.8</c:v>
                </c:pt>
                <c:pt idx="153">
                  <c:v>12.9</c:v>
                </c:pt>
                <c:pt idx="154">
                  <c:v>13</c:v>
                </c:pt>
                <c:pt idx="155">
                  <c:v>13.1</c:v>
                </c:pt>
                <c:pt idx="156">
                  <c:v>13.2</c:v>
                </c:pt>
                <c:pt idx="157">
                  <c:v>13.3</c:v>
                </c:pt>
                <c:pt idx="158">
                  <c:v>13.4</c:v>
                </c:pt>
                <c:pt idx="159">
                  <c:v>13.5</c:v>
                </c:pt>
                <c:pt idx="160">
                  <c:v>13.6</c:v>
                </c:pt>
                <c:pt idx="161">
                  <c:v>13.7</c:v>
                </c:pt>
                <c:pt idx="162">
                  <c:v>13.8</c:v>
                </c:pt>
                <c:pt idx="163">
                  <c:v>13.9</c:v>
                </c:pt>
                <c:pt idx="164">
                  <c:v>14</c:v>
                </c:pt>
                <c:pt idx="165">
                  <c:v>14.1</c:v>
                </c:pt>
                <c:pt idx="166">
                  <c:v>14.2</c:v>
                </c:pt>
                <c:pt idx="167">
                  <c:v>14.3</c:v>
                </c:pt>
                <c:pt idx="168">
                  <c:v>14.4</c:v>
                </c:pt>
                <c:pt idx="169">
                  <c:v>14.5</c:v>
                </c:pt>
                <c:pt idx="170">
                  <c:v>14.6</c:v>
                </c:pt>
                <c:pt idx="171">
                  <c:v>14.7</c:v>
                </c:pt>
                <c:pt idx="172">
                  <c:v>14.8</c:v>
                </c:pt>
                <c:pt idx="173">
                  <c:v>14.9</c:v>
                </c:pt>
                <c:pt idx="174">
                  <c:v>15</c:v>
                </c:pt>
                <c:pt idx="175">
                  <c:v>15.1</c:v>
                </c:pt>
                <c:pt idx="176">
                  <c:v>15.2</c:v>
                </c:pt>
                <c:pt idx="177">
                  <c:v>15.3</c:v>
                </c:pt>
                <c:pt idx="178">
                  <c:v>15.4</c:v>
                </c:pt>
                <c:pt idx="179">
                  <c:v>15.5</c:v>
                </c:pt>
                <c:pt idx="180">
                  <c:v>15.6</c:v>
                </c:pt>
                <c:pt idx="181">
                  <c:v>15.7</c:v>
                </c:pt>
                <c:pt idx="182">
                  <c:v>15.8</c:v>
                </c:pt>
                <c:pt idx="183">
                  <c:v>15.9</c:v>
                </c:pt>
                <c:pt idx="184">
                  <c:v>16</c:v>
                </c:pt>
                <c:pt idx="185">
                  <c:v>16.100000000000001</c:v>
                </c:pt>
                <c:pt idx="186">
                  <c:v>16.2</c:v>
                </c:pt>
                <c:pt idx="187">
                  <c:v>16.3</c:v>
                </c:pt>
                <c:pt idx="188">
                  <c:v>16.399999999999999</c:v>
                </c:pt>
                <c:pt idx="189">
                  <c:v>16.5</c:v>
                </c:pt>
                <c:pt idx="190">
                  <c:v>16.600000000000001</c:v>
                </c:pt>
                <c:pt idx="191">
                  <c:v>16.7</c:v>
                </c:pt>
                <c:pt idx="192">
                  <c:v>16.8</c:v>
                </c:pt>
                <c:pt idx="193">
                  <c:v>16.899999999999999</c:v>
                </c:pt>
                <c:pt idx="194">
                  <c:v>17</c:v>
                </c:pt>
                <c:pt idx="195">
                  <c:v>17.100000000000001</c:v>
                </c:pt>
                <c:pt idx="196">
                  <c:v>17.2</c:v>
                </c:pt>
                <c:pt idx="197">
                  <c:v>17.3</c:v>
                </c:pt>
                <c:pt idx="198">
                  <c:v>17.399999999999999</c:v>
                </c:pt>
                <c:pt idx="199">
                  <c:v>17.5</c:v>
                </c:pt>
                <c:pt idx="200">
                  <c:v>17.5</c:v>
                </c:pt>
              </c:numCache>
            </c:numRef>
          </c:xVal>
          <c:yVal>
            <c:numRef>
              <c:f>'Fig 1 exceedence prob'!$E$8:$E$208</c:f>
              <c:numCache>
                <c:formatCode>General</c:formatCode>
                <c:ptCount val="201"/>
                <c:pt idx="0">
                  <c:v>0.13300000000000001</c:v>
                </c:pt>
                <c:pt idx="1">
                  <c:v>0.13300000000000001</c:v>
                </c:pt>
                <c:pt idx="2">
                  <c:v>0.13183542013606664</c:v>
                </c:pt>
                <c:pt idx="3">
                  <c:v>0.13069511623257957</c:v>
                </c:pt>
                <c:pt idx="4">
                  <c:v>0.12741210890752142</c:v>
                </c:pt>
                <c:pt idx="5">
                  <c:v>0.12482365825414854</c:v>
                </c:pt>
                <c:pt idx="6">
                  <c:v>0.12432105582928266</c:v>
                </c:pt>
                <c:pt idx="7">
                  <c:v>0.12235841272522074</c:v>
                </c:pt>
                <c:pt idx="8">
                  <c:v>0.11356125535903094</c:v>
                </c:pt>
                <c:pt idx="9">
                  <c:v>0.10614837117913467</c:v>
                </c:pt>
                <c:pt idx="10">
                  <c:v>9.9803551018626147E-2</c:v>
                </c:pt>
                <c:pt idx="11">
                  <c:v>9.4301802058037176E-2</c:v>
                </c:pt>
                <c:pt idx="12">
                  <c:v>8.947834758964146E-2</c:v>
                </c:pt>
                <c:pt idx="13">
                  <c:v>8.5209541100664588E-2</c:v>
                </c:pt>
                <c:pt idx="14">
                  <c:v>8.140065252161155E-2</c:v>
                </c:pt>
                <c:pt idx="15">
                  <c:v>7.7977791087268322E-2</c:v>
                </c:pt>
                <c:pt idx="16">
                  <c:v>5.6178902606422554E-2</c:v>
                </c:pt>
                <c:pt idx="17">
                  <c:v>4.4933346654743245E-2</c:v>
                </c:pt>
                <c:pt idx="18">
                  <c:v>3.7923523365801515E-2</c:v>
                </c:pt>
                <c:pt idx="19">
                  <c:v>3.3075671712444077E-2</c:v>
                </c:pt>
                <c:pt idx="20">
                  <c:v>2.9493948233429657E-2</c:v>
                </c:pt>
                <c:pt idx="21">
                  <c:v>2.6723492070913624E-2</c:v>
                </c:pt>
                <c:pt idx="22">
                  <c:v>2.4507039147940946E-2</c:v>
                </c:pt>
                <c:pt idx="23">
                  <c:v>2.2687342241235475E-2</c:v>
                </c:pt>
                <c:pt idx="24">
                  <c:v>2.1162478208157309E-2</c:v>
                </c:pt>
                <c:pt idx="25">
                  <c:v>1.5433549058724849E-2</c:v>
                </c:pt>
                <c:pt idx="26">
                  <c:v>1.3253584831779408E-2</c:v>
                </c:pt>
                <c:pt idx="27">
                  <c:v>1.002177090705525E-2</c:v>
                </c:pt>
                <c:pt idx="28">
                  <c:v>8.2053992299961909E-3</c:v>
                </c:pt>
                <c:pt idx="29">
                  <c:v>7.021544442279315E-3</c:v>
                </c:pt>
                <c:pt idx="30">
                  <c:v>6.1799753261906343E-3</c:v>
                </c:pt>
                <c:pt idx="31">
                  <c:v>5.5464565532628018E-3</c:v>
                </c:pt>
                <c:pt idx="32">
                  <c:v>5.0497372072376701E-3</c:v>
                </c:pt>
                <c:pt idx="33">
                  <c:v>4.648234073098223E-3</c:v>
                </c:pt>
                <c:pt idx="34">
                  <c:v>4.3159276291742099E-3</c:v>
                </c:pt>
                <c:pt idx="35">
                  <c:v>4.0356429632234514E-3</c:v>
                </c:pt>
                <c:pt idx="36">
                  <c:v>3.7955526030447606E-3</c:v>
                </c:pt>
                <c:pt idx="37">
                  <c:v>3.5872261304941144E-3</c:v>
                </c:pt>
                <c:pt idx="38">
                  <c:v>3.4044803277811786E-3</c:v>
                </c:pt>
                <c:pt idx="39">
                  <c:v>3.2426695865733768E-3</c:v>
                </c:pt>
                <c:pt idx="40">
                  <c:v>3.0982309163395394E-3</c:v>
                </c:pt>
                <c:pt idx="41">
                  <c:v>2.9683825411923603E-3</c:v>
                </c:pt>
                <c:pt idx="42">
                  <c:v>2.8509185552983984E-3</c:v>
                </c:pt>
                <c:pt idx="43">
                  <c:v>2.7440655601423947E-3</c:v>
                </c:pt>
                <c:pt idx="44">
                  <c:v>2.6463804006511271E-3</c:v>
                </c:pt>
                <c:pt idx="45">
                  <c:v>2.5566758156368996E-3</c:v>
                </c:pt>
                <c:pt idx="46">
                  <c:v>2.4739654565039126E-3</c:v>
                </c:pt>
                <c:pt idx="47">
                  <c:v>2.3974226034642054E-3</c:v>
                </c:pt>
                <c:pt idx="48">
                  <c:v>2.326348736598538E-3</c:v>
                </c:pt>
                <c:pt idx="49">
                  <c:v>2.2601493081151336E-3</c:v>
                </c:pt>
                <c:pt idx="50">
                  <c:v>2.1983148515655193E-3</c:v>
                </c:pt>
                <c:pt idx="51">
                  <c:v>2.1404060977399109E-3</c:v>
                </c:pt>
                <c:pt idx="52">
                  <c:v>2.0860421343307234E-3</c:v>
                </c:pt>
                <c:pt idx="53">
                  <c:v>2.0348909031669971E-3</c:v>
                </c:pt>
                <c:pt idx="54">
                  <c:v>1.9866615108096175E-3</c:v>
                </c:pt>
                <c:pt idx="55">
                  <c:v>1.941097959003435E-3</c:v>
                </c:pt>
                <c:pt idx="56">
                  <c:v>1.8979739965334641E-3</c:v>
                </c:pt>
                <c:pt idx="57">
                  <c:v>1.8570888639249938E-3</c:v>
                </c:pt>
                <c:pt idx="58">
                  <c:v>1.8182637543840974E-3</c:v>
                </c:pt>
                <c:pt idx="59">
                  <c:v>1.7813388533587382E-3</c:v>
                </c:pt>
                <c:pt idx="60">
                  <c:v>1.7461708486417038E-3</c:v>
                </c:pt>
                <c:pt idx="61">
                  <c:v>1.7126308255053235E-3</c:v>
                </c:pt>
                <c:pt idx="62">
                  <c:v>1.6806024787447971E-3</c:v>
                </c:pt>
                <c:pt idx="63">
                  <c:v>1.649980586994948E-3</c:v>
                </c:pt>
                <c:pt idx="64">
                  <c:v>1.6206697052449925E-3</c:v>
                </c:pt>
                <c:pt idx="65">
                  <c:v>1.5925830397719443E-3</c:v>
                </c:pt>
                <c:pt idx="66">
                  <c:v>1.5656414762995619E-3</c:v>
                </c:pt>
                <c:pt idx="67">
                  <c:v>1.5397727374285575E-3</c:v>
                </c:pt>
                <c:pt idx="68">
                  <c:v>1.5149106495921938E-3</c:v>
                </c:pt>
                <c:pt idx="69">
                  <c:v>1.4909945031785776E-3</c:v>
                </c:pt>
                <c:pt idx="70">
                  <c:v>1.4679684922056513E-3</c:v>
                </c:pt>
                <c:pt idx="71">
                  <c:v>1.4457812221762012E-3</c:v>
                </c:pt>
                <c:pt idx="72">
                  <c:v>1.4243852765659648E-3</c:v>
                </c:pt>
                <c:pt idx="73">
                  <c:v>1.4037368339024914E-3</c:v>
                </c:pt>
                <c:pt idx="74">
                  <c:v>1.3837953286378601E-3</c:v>
                </c:pt>
                <c:pt idx="75">
                  <c:v>1.3645231500426513E-3</c:v>
                </c:pt>
                <c:pt idx="76">
                  <c:v>1.3458853742098764E-3</c:v>
                </c:pt>
                <c:pt idx="77">
                  <c:v>1.3278495249707811E-3</c:v>
                </c:pt>
                <c:pt idx="78">
                  <c:v>1.3103853601240667E-3</c:v>
                </c:pt>
                <c:pt idx="79">
                  <c:v>1.293464679887335E-3</c:v>
                </c:pt>
                <c:pt idx="80">
                  <c:v>1.2770611549053346E-3</c:v>
                </c:pt>
                <c:pt idx="81">
                  <c:v>1.261150171506964E-3</c:v>
                </c:pt>
                <c:pt idx="82">
                  <c:v>1.2457086922166294E-3</c:v>
                </c:pt>
                <c:pt idx="83">
                  <c:v>1.2307151297810126E-3</c:v>
                </c:pt>
                <c:pt idx="84">
                  <c:v>1.216149233197017E-3</c:v>
                </c:pt>
                <c:pt idx="85">
                  <c:v>1.2019919844219462E-3</c:v>
                </c:pt>
                <c:pt idx="86">
                  <c:v>1.1882255046067325E-3</c:v>
                </c:pt>
                <c:pt idx="87">
                  <c:v>1.1748329688370251E-3</c:v>
                </c:pt>
                <c:pt idx="88">
                  <c:v>1.1617985284873011E-3</c:v>
                </c:pt>
                <c:pt idx="89">
                  <c:v>1.1491072404072877E-3</c:v>
                </c:pt>
                <c:pt idx="90">
                  <c:v>1.1367450022369274E-3</c:v>
                </c:pt>
                <c:pt idx="91">
                  <c:v>1.1246984932423709E-3</c:v>
                </c:pt>
                <c:pt idx="92">
                  <c:v>1.1129551201237708E-3</c:v>
                </c:pt>
                <c:pt idx="93">
                  <c:v>1.1015029673128174E-3</c:v>
                </c:pt>
                <c:pt idx="94">
                  <c:v>1.0903307513281391E-3</c:v>
                </c:pt>
                <c:pt idx="95">
                  <c:v>1.0794277788050977E-3</c:v>
                </c:pt>
                <c:pt idx="96">
                  <c:v>1.0687839078578065E-3</c:v>
                </c:pt>
                <c:pt idx="97">
                  <c:v>1.0583895124642861E-3</c:v>
                </c:pt>
                <c:pt idx="98">
                  <c:v>1.0482354496055279E-3</c:v>
                </c:pt>
                <c:pt idx="99">
                  <c:v>1.0383130289050024E-3</c:v>
                </c:pt>
                <c:pt idx="100">
                  <c:v>1.0286139845533393E-3</c:v>
                </c:pt>
                <c:pt idx="101">
                  <c:v>1.0191304493171183E-3</c:v>
                </c:pt>
                <c:pt idx="102">
                  <c:v>1.0098549304501381E-3</c:v>
                </c:pt>
                <c:pt idx="103">
                  <c:v>1.000780287349512E-3</c:v>
                </c:pt>
                <c:pt idx="104">
                  <c:v>9.918997108048222E-4</c:v>
                </c:pt>
                <c:pt idx="105">
                  <c:v>9.8320670371498942E-4</c:v>
                </c:pt>
                <c:pt idx="106">
                  <c:v>9.746950631462914E-4</c:v>
                </c:pt>
                <c:pt idx="107">
                  <c:v>9.6635886362650414E-4</c:v>
                </c:pt>
                <c:pt idx="108">
                  <c:v>9.5819244157557826E-4</c:v>
                </c:pt>
                <c:pt idx="109">
                  <c:v>9.5019038078336671E-4</c:v>
                </c:pt>
                <c:pt idx="110">
                  <c:v>9.4234749885147018E-4</c:v>
                </c:pt>
                <c:pt idx="111">
                  <c:v>9.3465883452614751E-4</c:v>
                </c:pt>
                <c:pt idx="112">
                  <c:v>9.2711963585401236E-4</c:v>
                </c:pt>
                <c:pt idx="113">
                  <c:v>9.1972534909723347E-4</c:v>
                </c:pt>
                <c:pt idx="114">
                  <c:v>9.1247160835372654E-4</c:v>
                </c:pt>
                <c:pt idx="115">
                  <c:v>9.0535422582804781E-4</c:v>
                </c:pt>
                <c:pt idx="116">
                  <c:v>8.9836918270747024E-4</c:v>
                </c:pt>
                <c:pt idx="117">
                  <c:v>8.9151262059750103E-4</c:v>
                </c:pt>
                <c:pt idx="118">
                  <c:v>8.8478083347942604E-4</c:v>
                </c:pt>
                <c:pt idx="119">
                  <c:v>8.7817026015013511E-4</c:v>
                </c:pt>
                <c:pt idx="120">
                  <c:v>8.7167747711325294E-4</c:v>
                </c:pt>
                <c:pt idx="121">
                  <c:v>8.6529919188760296E-4</c:v>
                </c:pt>
                <c:pt idx="122">
                  <c:v>8.5903223670735773E-4</c:v>
                </c:pt>
                <c:pt idx="123">
                  <c:v>8.528735625847883E-4</c:v>
                </c:pt>
                <c:pt idx="124">
                  <c:v>8.4682023371163151E-4</c:v>
                </c:pt>
                <c:pt idx="125">
                  <c:v>8.408694221794244E-4</c:v>
                </c:pt>
                <c:pt idx="126">
                  <c:v>8.350184029929375E-4</c:v>
                </c:pt>
                <c:pt idx="127">
                  <c:v>8.2926454936183003E-4</c:v>
                </c:pt>
                <c:pt idx="128">
                  <c:v>8.2360532825076493E-4</c:v>
                </c:pt>
                <c:pt idx="129">
                  <c:v>8.1803829617155266E-4</c:v>
                </c:pt>
                <c:pt idx="130">
                  <c:v>8.1256109520100317E-4</c:v>
                </c:pt>
                <c:pt idx="131">
                  <c:v>8.0717144921393924E-4</c:v>
                </c:pt>
                <c:pt idx="132">
                  <c:v>8.0186716031249716E-4</c:v>
                </c:pt>
                <c:pt idx="133">
                  <c:v>7.9664610544516457E-4</c:v>
                </c:pt>
                <c:pt idx="134">
                  <c:v>7.9150623319923508E-4</c:v>
                </c:pt>
                <c:pt idx="135">
                  <c:v>7.8644556076046257E-4</c:v>
                </c:pt>
                <c:pt idx="136">
                  <c:v>7.8146217102614823E-4</c:v>
                </c:pt>
                <c:pt idx="137">
                  <c:v>7.7655420986499912E-4</c:v>
                </c:pt>
                <c:pt idx="138">
                  <c:v>7.7171988351343312E-4</c:v>
                </c:pt>
                <c:pt idx="139">
                  <c:v>7.6695745610311228E-4</c:v>
                </c:pt>
                <c:pt idx="140">
                  <c:v>7.6226524730849121E-4</c:v>
                </c:pt>
                <c:pt idx="141">
                  <c:v>7.5764163010882957E-4</c:v>
                </c:pt>
                <c:pt idx="142">
                  <c:v>7.5308502866133775E-4</c:v>
                </c:pt>
                <c:pt idx="143">
                  <c:v>7.485939162729105E-4</c:v>
                </c:pt>
                <c:pt idx="144">
                  <c:v>7.4416681347089231E-4</c:v>
                </c:pt>
                <c:pt idx="145">
                  <c:v>7.3980228616421506E-4</c:v>
                </c:pt>
                <c:pt idx="146">
                  <c:v>7.3549894389013382E-4</c:v>
                </c:pt>
                <c:pt idx="147">
                  <c:v>7.3125543814334115E-4</c:v>
                </c:pt>
                <c:pt idx="148">
                  <c:v>7.2707046078102078E-4</c:v>
                </c:pt>
                <c:pt idx="149">
                  <c:v>7.2294274250150892E-4</c:v>
                </c:pt>
                <c:pt idx="150">
                  <c:v>7.1887105139190055E-4</c:v>
                </c:pt>
                <c:pt idx="151">
                  <c:v>7.148541915406037E-4</c:v>
                </c:pt>
                <c:pt idx="152">
                  <c:v>7.1089100171195518E-4</c:v>
                </c:pt>
                <c:pt idx="153">
                  <c:v>7.0698035408045534E-4</c:v>
                </c:pt>
                <c:pt idx="154">
                  <c:v>7.0312115301829348E-4</c:v>
                </c:pt>
                <c:pt idx="155">
                  <c:v>6.9931233393849546E-4</c:v>
                </c:pt>
                <c:pt idx="156">
                  <c:v>6.9555286218603296E-4</c:v>
                </c:pt>
                <c:pt idx="157">
                  <c:v>6.918417319781156E-4</c:v>
                </c:pt>
                <c:pt idx="158">
                  <c:v>6.8817796538844789E-4</c:v>
                </c:pt>
                <c:pt idx="159">
                  <c:v>6.845606113750069E-4</c:v>
                </c:pt>
                <c:pt idx="160">
                  <c:v>6.8098874484900929E-4</c:v>
                </c:pt>
                <c:pt idx="161">
                  <c:v>6.7746146578140376E-4</c:v>
                </c:pt>
                <c:pt idx="162">
                  <c:v>6.7397789834866551E-4</c:v>
                </c:pt>
                <c:pt idx="163">
                  <c:v>6.7053719011089807E-4</c:v>
                </c:pt>
                <c:pt idx="164">
                  <c:v>6.6713851122557344E-4</c:v>
                </c:pt>
                <c:pt idx="165">
                  <c:v>6.6378105369158114E-4</c:v>
                </c:pt>
                <c:pt idx="166">
                  <c:v>6.6046403062647308E-4</c:v>
                </c:pt>
                <c:pt idx="167">
                  <c:v>6.5718667556780019E-4</c:v>
                </c:pt>
                <c:pt idx="168">
                  <c:v>6.5394824180775579E-4</c:v>
                </c:pt>
                <c:pt idx="169">
                  <c:v>6.5074800174902414E-4</c:v>
                </c:pt>
                <c:pt idx="170">
                  <c:v>6.4758524628949488E-4</c:v>
                </c:pt>
                <c:pt idx="171">
                  <c:v>6.4445928422851573E-4</c:v>
                </c:pt>
                <c:pt idx="172">
                  <c:v>6.4136944169812526E-4</c:v>
                </c:pt>
                <c:pt idx="173">
                  <c:v>6.3831506161327045E-4</c:v>
                </c:pt>
                <c:pt idx="174">
                  <c:v>6.3529550314656014E-4</c:v>
                </c:pt>
                <c:pt idx="175">
                  <c:v>6.3231014121922779E-4</c:v>
                </c:pt>
                <c:pt idx="176">
                  <c:v>6.2935836601474282E-4</c:v>
                </c:pt>
                <c:pt idx="177">
                  <c:v>6.2643958250685472E-4</c:v>
                </c:pt>
                <c:pt idx="178">
                  <c:v>6.2355321000873154E-4</c:v>
                </c:pt>
                <c:pt idx="179">
                  <c:v>6.2069868173630915E-4</c:v>
                </c:pt>
                <c:pt idx="180">
                  <c:v>6.1787544438851594E-4</c:v>
                </c:pt>
                <c:pt idx="181">
                  <c:v>6.1508295774270749E-4</c:v>
                </c:pt>
                <c:pt idx="182">
                  <c:v>6.123206942646453E-4</c:v>
                </c:pt>
                <c:pt idx="183">
                  <c:v>6.095881387324642E-4</c:v>
                </c:pt>
                <c:pt idx="184">
                  <c:v>6.0688478787418454E-4</c:v>
                </c:pt>
                <c:pt idx="185">
                  <c:v>6.0421015001810296E-4</c:v>
                </c:pt>
                <c:pt idx="186">
                  <c:v>6.0156374475539565E-4</c:v>
                </c:pt>
                <c:pt idx="187">
                  <c:v>5.9894510261382372E-4</c:v>
                </c:pt>
                <c:pt idx="188">
                  <c:v>5.9635376474531654E-4</c:v>
                </c:pt>
                <c:pt idx="189">
                  <c:v>5.9378928262066033E-4</c:v>
                </c:pt>
                <c:pt idx="190">
                  <c:v>5.9125121773762057E-4</c:v>
                </c:pt>
                <c:pt idx="191">
                  <c:v>5.887391413382792E-4</c:v>
                </c:pt>
                <c:pt idx="192">
                  <c:v>5.8625263413492057E-4</c:v>
                </c:pt>
                <c:pt idx="193">
                  <c:v>5.837912860471306E-4</c:v>
                </c:pt>
                <c:pt idx="194">
                  <c:v>5.8135469594533529E-4</c:v>
                </c:pt>
                <c:pt idx="195">
                  <c:v>5.7894247140544142E-4</c:v>
                </c:pt>
                <c:pt idx="196">
                  <c:v>5.7655422846925042E-4</c:v>
                </c:pt>
                <c:pt idx="197">
                  <c:v>5.7418959141486425E-4</c:v>
                </c:pt>
                <c:pt idx="198">
                  <c:v>5.7184819253319752E-4</c:v>
                </c:pt>
                <c:pt idx="199">
                  <c:v>5.6952967191248316E-4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E2-4DE2-9032-11E5418B10A2}"/>
            </c:ext>
          </c:extLst>
        </c:ser>
        <c:ser>
          <c:idx val="0"/>
          <c:order val="1"/>
          <c:tx>
            <c:v>Threshold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errBars>
            <c:errDir val="x"/>
            <c:errBarType val="minus"/>
            <c:errValType val="percentage"/>
            <c:noEndCap val="1"/>
            <c:val val="99.937000000000012"/>
            <c:spPr>
              <a:noFill/>
              <a:ln w="9525" cap="flat" cmpd="sng" algn="ctr">
                <a:solidFill>
                  <a:srgbClr val="C00000"/>
                </a:solidFill>
                <a:prstDash val="sysDash"/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rgbClr val="C00000"/>
                </a:solidFill>
                <a:prstDash val="sysDash"/>
                <a:round/>
              </a:ln>
              <a:effectLst/>
            </c:spPr>
          </c:errBars>
          <c:xVal>
            <c:numRef>
              <c:f>'Fig 1 exceedence prob'!$A$33</c:f>
              <c:numCache>
                <c:formatCode>General</c:formatCode>
                <c:ptCount val="1"/>
                <c:pt idx="0">
                  <c:v>0.16</c:v>
                </c:pt>
              </c:numCache>
            </c:numRef>
          </c:xVal>
          <c:yVal>
            <c:numRef>
              <c:f>'Fig 1 exceedence prob'!$E$33</c:f>
              <c:numCache>
                <c:formatCode>General</c:formatCode>
                <c:ptCount val="1"/>
                <c:pt idx="0">
                  <c:v>1.5433549058724849E-2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0-42C4-ABAD-3181BD1D8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615344"/>
        <c:axId val="1959611984"/>
      </c:scatterChart>
      <c:valAx>
        <c:axId val="1959615344"/>
        <c:scaling>
          <c:logBase val="10"/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</a:t>
                </a:r>
                <a:r>
                  <a:rPr lang="en-US" i="1"/>
                  <a:t>i</a:t>
                </a:r>
                <a:r>
                  <a:rPr lang="en-US"/>
                  <a:t> (deaths per thousand per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11984"/>
        <c:crosses val="autoZero"/>
        <c:crossBetween val="midCat"/>
      </c:valAx>
      <c:valAx>
        <c:axId val="1959611984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Exceedence 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15344"/>
        <c:crossesAt val="1.0000000000000003E-4"/>
        <c:crossBetween val="midCat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5445292620865138E-2"/>
                  <c:y val="3.1746031746031744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Zika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2CF-4D03-9E4C-B7FCF1CEE981}"/>
                </c:ext>
              </c:extLst>
            </c:dLbl>
            <c:dLbl>
              <c:idx val="1"/>
              <c:layout>
                <c:manualLayout>
                  <c:x val="-3.1099802092168505E-2"/>
                  <c:y val="3.3779046849912904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SARS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2CF-4D03-9E4C-B7FCF1CEE981}"/>
                </c:ext>
              </c:extLst>
            </c:dLbl>
            <c:dLbl>
              <c:idx val="2"/>
              <c:layout>
                <c:manualLayout>
                  <c:x val="-3.5340684195646024E-2"/>
                  <c:y val="-3.2155019084152942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Ebola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2CF-4D03-9E4C-B7FCF1CEE981}"/>
                </c:ext>
              </c:extLst>
            </c:dLbl>
            <c:dLbl>
              <c:idx val="3"/>
              <c:layout>
                <c:manualLayout>
                  <c:x val="-4.5236075770426917E-2"/>
                  <c:y val="-2.9304029304029325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Covid-19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2CF-4D03-9E4C-B7FCF1CEE981}"/>
                </c:ext>
              </c:extLst>
            </c:dLbl>
            <c:dLbl>
              <c:idx val="4"/>
              <c:layout>
                <c:manualLayout>
                  <c:x val="-3.2513429459994345E-2"/>
                  <c:y val="3.8663051733917875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1918 flu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2CF-4D03-9E4C-B7FCF1CEE9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'Fig 2 intensity losses'!$H$3:$H$7</c:f>
              <c:numCache>
                <c:formatCode>General</c:formatCode>
                <c:ptCount val="5"/>
                <c:pt idx="0">
                  <c:v>4.5351473922902495E-5</c:v>
                </c:pt>
                <c:pt idx="1">
                  <c:v>1.1659276193378199E-4</c:v>
                </c:pt>
                <c:pt idx="2">
                  <c:v>3.9265207718322873E-4</c:v>
                </c:pt>
                <c:pt idx="3">
                  <c:v>0.32216494845360827</c:v>
                </c:pt>
                <c:pt idx="4">
                  <c:v>5.694051495578214</c:v>
                </c:pt>
              </c:numCache>
            </c:numRef>
          </c:xVal>
          <c:yVal>
            <c:numRef>
              <c:f>'Fig 2 intensity losses'!$K$3:$K$7</c:f>
              <c:numCache>
                <c:formatCode>General</c:formatCode>
                <c:ptCount val="5"/>
                <c:pt idx="0">
                  <c:v>1.67E-2</c:v>
                </c:pt>
                <c:pt idx="1">
                  <c:v>2.5000000000000001E-2</c:v>
                </c:pt>
                <c:pt idx="2">
                  <c:v>8.3000000000000004E-2</c:v>
                </c:pt>
                <c:pt idx="3">
                  <c:v>3.5999999999999996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CF-4D03-9E4C-B7FCF1CEE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30928"/>
        <c:axId val="1597622192"/>
      </c:scatterChart>
      <c:valAx>
        <c:axId val="159763092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Mortality intensity </a:t>
                </a:r>
                <a:r>
                  <a:rPr lang="en-US" sz="1200" i="1"/>
                  <a:t>i</a:t>
                </a:r>
                <a:r>
                  <a:rPr lang="en-US" sz="1200"/>
                  <a:t> (deaths</a:t>
                </a:r>
                <a:r>
                  <a:rPr lang="en-US" sz="1200" baseline="0"/>
                  <a:t> </a:t>
                </a:r>
                <a:r>
                  <a:rPr lang="en-US" sz="1200"/>
                  <a:t>per thousand</a:t>
                </a:r>
                <a:r>
                  <a:rPr lang="en-US" sz="1200" baseline="0"/>
                  <a:t> per year)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22192"/>
        <c:crossesAt val="1.0000000000000003E-4"/>
        <c:crossBetween val="midCat"/>
      </c:valAx>
      <c:valAx>
        <c:axId val="1597622192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Economic-output losses  (% global GDP annually</a:t>
                </a:r>
                <a:r>
                  <a:rPr lang="en-US" sz="1200" baseline="0"/>
                  <a:t>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30928"/>
        <c:crossesAt val="1.0000000000000004E-5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196851</xdr:colOff>
      <xdr:row>8</xdr:row>
      <xdr:rowOff>38100</xdr:rowOff>
    </xdr:from>
    <xdr:to>
      <xdr:col>17</xdr:col>
      <xdr:colOff>514350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046C66-CD8D-305F-DBAB-587239CBE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17</xdr:col>
      <xdr:colOff>405130</xdr:colOff>
      <xdr:row>38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D632E-A187-4D32-B83D-9E36DBD1C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A273-D264-4863-B57A-FAF0F4581BC7}">
  <dimension ref="A1:E208"/>
  <sheetViews>
    <sheetView tabSelected="1" topLeftCell="A4" zoomScale="62" workbookViewId="0">
      <selection activeCell="F19" sqref="F19"/>
    </sheetView>
  </sheetViews>
  <sheetFormatPr defaultRowHeight="14.5" x14ac:dyDescent="0.35"/>
  <cols>
    <col min="1" max="1" width="12.36328125" bestFit="1" customWidth="1"/>
  </cols>
  <sheetData>
    <row r="1" spans="1:5" x14ac:dyDescent="0.35">
      <c r="A1" t="s">
        <v>0</v>
      </c>
      <c r="B1">
        <v>0.62</v>
      </c>
    </row>
    <row r="2" spans="1:5" x14ac:dyDescent="0.35">
      <c r="A2" t="s">
        <v>1</v>
      </c>
      <c r="B2">
        <v>1.41</v>
      </c>
    </row>
    <row r="3" spans="1:5" x14ac:dyDescent="0.35">
      <c r="A3" t="s">
        <v>2</v>
      </c>
      <c r="B3">
        <v>1.1299999999999999E-2</v>
      </c>
    </row>
    <row r="4" spans="1:5" x14ac:dyDescent="0.35">
      <c r="A4" t="s">
        <v>3</v>
      </c>
      <c r="B4">
        <v>1E-3</v>
      </c>
    </row>
    <row r="5" spans="1:5" x14ac:dyDescent="0.35">
      <c r="A5" t="s">
        <v>6</v>
      </c>
      <c r="B5">
        <f>5.7*100/32</f>
        <v>17.8125</v>
      </c>
    </row>
    <row r="6" spans="1:5" x14ac:dyDescent="0.35">
      <c r="A6" t="s">
        <v>4</v>
      </c>
      <c r="B6" t="s">
        <v>8</v>
      </c>
      <c r="C6" t="s">
        <v>9</v>
      </c>
      <c r="D6" t="s">
        <v>5</v>
      </c>
      <c r="E6" t="s">
        <v>7</v>
      </c>
    </row>
    <row r="7" spans="1:5" x14ac:dyDescent="0.35">
      <c r="A7">
        <v>0</v>
      </c>
      <c r="B7">
        <f>IF(A7&lt;=$B$4,$B$1,IF(A7&lt;=$B$5,1-(1-$B$1)*(1+$B$2*(A7-$B$4)/$B$3)^(-1/$B$2),1))</f>
        <v>0.62</v>
      </c>
      <c r="C7">
        <f>1-B7</f>
        <v>0.38</v>
      </c>
      <c r="D7">
        <f>(13+7*B7)/20</f>
        <v>0.86699999999999999</v>
      </c>
      <c r="E7">
        <f>1-D7</f>
        <v>0.13300000000000001</v>
      </c>
    </row>
    <row r="8" spans="1:5" x14ac:dyDescent="0.35">
      <c r="A8">
        <v>1E-4</v>
      </c>
      <c r="B8">
        <f t="shared" ref="B8:B31" si="0">IF(A8&lt;=$B$4,$B$1,IF(A8&lt;=$B$5,1-(1-$B$1)*(1+$B$2*(A8-$B$4)/$B$3)^(-1/$B$2),1))</f>
        <v>0.62</v>
      </c>
      <c r="C8">
        <f t="shared" ref="C8:C72" si="1">1-B8</f>
        <v>0.38</v>
      </c>
      <c r="D8">
        <f t="shared" ref="D8:D72" si="2">(13+7*B8)/20</f>
        <v>0.86699999999999999</v>
      </c>
      <c r="E8">
        <f t="shared" ref="E8:E72" si="3">1-D8</f>
        <v>0.13300000000000001</v>
      </c>
    </row>
    <row r="9" spans="1:5" x14ac:dyDescent="0.35">
      <c r="A9">
        <v>1E-3</v>
      </c>
      <c r="B9">
        <f t="shared" si="0"/>
        <v>0.62</v>
      </c>
      <c r="C9">
        <f t="shared" si="1"/>
        <v>0.38</v>
      </c>
      <c r="D9">
        <f t="shared" si="2"/>
        <v>0.86699999999999999</v>
      </c>
      <c r="E9">
        <f t="shared" si="3"/>
        <v>0.13300000000000001</v>
      </c>
    </row>
    <row r="10" spans="1:5" x14ac:dyDescent="0.35">
      <c r="A10">
        <v>1.1000000000000001E-3</v>
      </c>
      <c r="B10">
        <f t="shared" si="0"/>
        <v>0.62332737103980951</v>
      </c>
      <c r="C10">
        <f t="shared" si="1"/>
        <v>0.37667262896019049</v>
      </c>
      <c r="D10">
        <f t="shared" si="2"/>
        <v>0.86816457986393336</v>
      </c>
      <c r="E10">
        <f t="shared" si="3"/>
        <v>0.13183542013606664</v>
      </c>
    </row>
    <row r="11" spans="1:5" x14ac:dyDescent="0.35">
      <c r="A11">
        <v>1.1999999999999999E-3</v>
      </c>
      <c r="B11">
        <f t="shared" si="0"/>
        <v>0.62658538219262983</v>
      </c>
      <c r="C11">
        <f t="shared" si="1"/>
        <v>0.37341461780737017</v>
      </c>
      <c r="D11">
        <f t="shared" si="2"/>
        <v>0.86930488376742043</v>
      </c>
      <c r="E11">
        <f t="shared" si="3"/>
        <v>0.13069511623257957</v>
      </c>
    </row>
    <row r="12" spans="1:5" x14ac:dyDescent="0.35">
      <c r="A12">
        <v>1.5E-3</v>
      </c>
      <c r="B12">
        <f t="shared" si="0"/>
        <v>0.63596540312136729</v>
      </c>
      <c r="C12">
        <f t="shared" si="1"/>
        <v>0.36403459687863271</v>
      </c>
      <c r="D12">
        <f t="shared" si="2"/>
        <v>0.87258789109247858</v>
      </c>
      <c r="E12">
        <f t="shared" si="3"/>
        <v>0.12741210890752142</v>
      </c>
    </row>
    <row r="13" spans="1:5" x14ac:dyDescent="0.35">
      <c r="A13">
        <v>1.75E-3</v>
      </c>
      <c r="B13">
        <f t="shared" si="0"/>
        <v>0.64336097641671852</v>
      </c>
      <c r="C13">
        <f t="shared" si="1"/>
        <v>0.35663902358328148</v>
      </c>
      <c r="D13">
        <f t="shared" si="2"/>
        <v>0.87517634174585146</v>
      </c>
      <c r="E13">
        <f t="shared" si="3"/>
        <v>0.12482365825414854</v>
      </c>
    </row>
    <row r="14" spans="1:5" x14ac:dyDescent="0.35">
      <c r="A14">
        <v>1.8E-3</v>
      </c>
      <c r="B14">
        <f t="shared" si="0"/>
        <v>0.64479698334490687</v>
      </c>
      <c r="C14">
        <f t="shared" si="1"/>
        <v>0.35520301665509313</v>
      </c>
      <c r="D14">
        <f t="shared" si="2"/>
        <v>0.87567894417071734</v>
      </c>
      <c r="E14">
        <f t="shared" si="3"/>
        <v>0.12432105582928266</v>
      </c>
    </row>
    <row r="15" spans="1:5" x14ac:dyDescent="0.35">
      <c r="A15">
        <v>2E-3</v>
      </c>
      <c r="B15">
        <f t="shared" si="0"/>
        <v>0.65040453507079787</v>
      </c>
      <c r="C15">
        <f t="shared" si="1"/>
        <v>0.34959546492920213</v>
      </c>
      <c r="D15">
        <f t="shared" si="2"/>
        <v>0.87764158727477926</v>
      </c>
      <c r="E15">
        <f t="shared" si="3"/>
        <v>0.12235841272522074</v>
      </c>
    </row>
    <row r="16" spans="1:5" x14ac:dyDescent="0.35">
      <c r="A16">
        <v>3.0000000000000001E-3</v>
      </c>
      <c r="B16">
        <f t="shared" si="0"/>
        <v>0.67553927040276895</v>
      </c>
      <c r="C16">
        <f t="shared" si="1"/>
        <v>0.32446072959723105</v>
      </c>
      <c r="D16">
        <f t="shared" si="2"/>
        <v>0.88643874464096906</v>
      </c>
      <c r="E16">
        <f t="shared" si="3"/>
        <v>0.11356125535903094</v>
      </c>
    </row>
    <row r="17" spans="1:5" x14ac:dyDescent="0.35">
      <c r="A17">
        <v>4.0000000000000001E-3</v>
      </c>
      <c r="B17">
        <f t="shared" si="0"/>
        <v>0.69671893948818675</v>
      </c>
      <c r="C17">
        <f t="shared" si="1"/>
        <v>0.30328106051181325</v>
      </c>
      <c r="D17">
        <f t="shared" si="2"/>
        <v>0.89385162882086533</v>
      </c>
      <c r="E17">
        <f t="shared" si="3"/>
        <v>0.10614837117913467</v>
      </c>
    </row>
    <row r="18" spans="1:5" x14ac:dyDescent="0.35">
      <c r="A18">
        <v>5.0000000000000001E-3</v>
      </c>
      <c r="B18">
        <f t="shared" si="0"/>
        <v>0.71484699708963984</v>
      </c>
      <c r="C18">
        <f t="shared" si="1"/>
        <v>0.28515300291036016</v>
      </c>
      <c r="D18">
        <f t="shared" si="2"/>
        <v>0.90019644898137385</v>
      </c>
      <c r="E18">
        <f t="shared" si="3"/>
        <v>9.9803551018626147E-2</v>
      </c>
    </row>
    <row r="19" spans="1:5" x14ac:dyDescent="0.35">
      <c r="A19">
        <v>6.0000000000000001E-3</v>
      </c>
      <c r="B19">
        <f t="shared" si="0"/>
        <v>0.73056627983417965</v>
      </c>
      <c r="C19">
        <f t="shared" si="1"/>
        <v>0.26943372016582035</v>
      </c>
      <c r="D19">
        <f t="shared" si="2"/>
        <v>0.90569819794196282</v>
      </c>
      <c r="E19">
        <f t="shared" si="3"/>
        <v>9.4301802058037176E-2</v>
      </c>
    </row>
    <row r="20" spans="1:5" x14ac:dyDescent="0.35">
      <c r="A20">
        <v>7.0000000000000001E-3</v>
      </c>
      <c r="B20">
        <f t="shared" si="0"/>
        <v>0.74434757831531051</v>
      </c>
      <c r="C20">
        <f t="shared" si="1"/>
        <v>0.25565242168468949</v>
      </c>
      <c r="D20">
        <f t="shared" si="2"/>
        <v>0.91052165241035854</v>
      </c>
      <c r="E20">
        <f t="shared" si="3"/>
        <v>8.947834758964146E-2</v>
      </c>
    </row>
    <row r="21" spans="1:5" x14ac:dyDescent="0.35">
      <c r="A21">
        <v>8.0000000000000002E-3</v>
      </c>
      <c r="B21">
        <f t="shared" si="0"/>
        <v>0.75654416828381532</v>
      </c>
      <c r="C21">
        <f t="shared" si="1"/>
        <v>0.24345583171618468</v>
      </c>
      <c r="D21">
        <f t="shared" si="2"/>
        <v>0.91479045889933541</v>
      </c>
      <c r="E21">
        <f t="shared" si="3"/>
        <v>8.5209541100664588E-2</v>
      </c>
    </row>
    <row r="22" spans="1:5" x14ac:dyDescent="0.35">
      <c r="A22">
        <v>8.9999999999999993E-3</v>
      </c>
      <c r="B22">
        <f t="shared" si="0"/>
        <v>0.76742670708111027</v>
      </c>
      <c r="C22">
        <f t="shared" si="1"/>
        <v>0.23257329291888973</v>
      </c>
      <c r="D22">
        <f t="shared" si="2"/>
        <v>0.91859934747838845</v>
      </c>
      <c r="E22">
        <f t="shared" si="3"/>
        <v>8.140065252161155E-2</v>
      </c>
    </row>
    <row r="23" spans="1:5" x14ac:dyDescent="0.35">
      <c r="A23">
        <v>0.01</v>
      </c>
      <c r="B23">
        <f t="shared" si="0"/>
        <v>0.77720631117923333</v>
      </c>
      <c r="C23">
        <f t="shared" si="1"/>
        <v>0.22279368882076667</v>
      </c>
      <c r="D23">
        <f t="shared" si="2"/>
        <v>0.92202220891273168</v>
      </c>
      <c r="E23">
        <f t="shared" si="3"/>
        <v>7.7977791087268322E-2</v>
      </c>
    </row>
    <row r="24" spans="1:5" x14ac:dyDescent="0.35">
      <c r="A24">
        <v>0.02</v>
      </c>
      <c r="B24">
        <f t="shared" si="0"/>
        <v>0.83948884969593585</v>
      </c>
      <c r="C24">
        <f t="shared" si="1"/>
        <v>0.16051115030406415</v>
      </c>
      <c r="D24">
        <f t="shared" si="2"/>
        <v>0.94382109739357745</v>
      </c>
      <c r="E24">
        <f t="shared" si="3"/>
        <v>5.6178902606422554E-2</v>
      </c>
    </row>
    <row r="25" spans="1:5" x14ac:dyDescent="0.35">
      <c r="A25">
        <v>0.03</v>
      </c>
      <c r="B25">
        <f t="shared" si="0"/>
        <v>0.87161900955787641</v>
      </c>
      <c r="C25">
        <f t="shared" si="1"/>
        <v>0.12838099044212359</v>
      </c>
      <c r="D25">
        <f t="shared" si="2"/>
        <v>0.95506665334525676</v>
      </c>
      <c r="E25">
        <f t="shared" si="3"/>
        <v>4.4933346654743245E-2</v>
      </c>
    </row>
    <row r="26" spans="1:5" x14ac:dyDescent="0.35">
      <c r="A26">
        <v>0.04</v>
      </c>
      <c r="B26">
        <f t="shared" si="0"/>
        <v>0.8916470760977101</v>
      </c>
      <c r="C26">
        <f t="shared" si="1"/>
        <v>0.1083529239022899</v>
      </c>
      <c r="D26">
        <f t="shared" si="2"/>
        <v>0.96207647663419849</v>
      </c>
      <c r="E26">
        <f t="shared" si="3"/>
        <v>3.7923523365801515E-2</v>
      </c>
    </row>
    <row r="27" spans="1:5" x14ac:dyDescent="0.35">
      <c r="A27">
        <v>0.05</v>
      </c>
      <c r="B27">
        <f t="shared" si="0"/>
        <v>0.90549808082158811</v>
      </c>
      <c r="C27">
        <f t="shared" si="1"/>
        <v>9.4501919178411886E-2</v>
      </c>
      <c r="D27">
        <f t="shared" si="2"/>
        <v>0.96692432828755592</v>
      </c>
      <c r="E27">
        <f t="shared" si="3"/>
        <v>3.3075671712444077E-2</v>
      </c>
    </row>
    <row r="28" spans="1:5" x14ac:dyDescent="0.35">
      <c r="A28">
        <v>0.06</v>
      </c>
      <c r="B28">
        <f t="shared" si="0"/>
        <v>0.91573157647591563</v>
      </c>
      <c r="C28">
        <f t="shared" si="1"/>
        <v>8.4268423524084368E-2</v>
      </c>
      <c r="D28">
        <f t="shared" si="2"/>
        <v>0.97050605176657034</v>
      </c>
      <c r="E28">
        <f t="shared" si="3"/>
        <v>2.9493948233429657E-2</v>
      </c>
    </row>
    <row r="29" spans="1:5" x14ac:dyDescent="0.35">
      <c r="A29">
        <v>7.0000000000000007E-2</v>
      </c>
      <c r="B29">
        <f t="shared" si="0"/>
        <v>0.92364716551167581</v>
      </c>
      <c r="C29">
        <f t="shared" si="1"/>
        <v>7.6352834488324195E-2</v>
      </c>
      <c r="D29">
        <f t="shared" si="2"/>
        <v>0.97327650792908638</v>
      </c>
      <c r="E29">
        <f t="shared" si="3"/>
        <v>2.6723492070913624E-2</v>
      </c>
    </row>
    <row r="30" spans="1:5" x14ac:dyDescent="0.35">
      <c r="A30">
        <v>0.08</v>
      </c>
      <c r="B30">
        <f t="shared" si="0"/>
        <v>0.92997988814874011</v>
      </c>
      <c r="C30">
        <f t="shared" si="1"/>
        <v>7.0020111851259892E-2</v>
      </c>
      <c r="D30">
        <f t="shared" si="2"/>
        <v>0.97549296085205905</v>
      </c>
      <c r="E30">
        <f t="shared" si="3"/>
        <v>2.4507039147940946E-2</v>
      </c>
    </row>
    <row r="31" spans="1:5" x14ac:dyDescent="0.35">
      <c r="A31">
        <v>0.09</v>
      </c>
      <c r="B31">
        <f t="shared" si="0"/>
        <v>0.93517902216789861</v>
      </c>
      <c r="C31">
        <f t="shared" si="1"/>
        <v>6.482097783210139E-2</v>
      </c>
      <c r="D31">
        <f t="shared" si="2"/>
        <v>0.97731265775876452</v>
      </c>
      <c r="E31">
        <f t="shared" si="3"/>
        <v>2.2687342241235475E-2</v>
      </c>
    </row>
    <row r="32" spans="1:5" x14ac:dyDescent="0.35">
      <c r="A32">
        <v>0.1</v>
      </c>
      <c r="B32">
        <f t="shared" ref="B32:B89" si="4">IF(A32&lt;=$B$4,$B$1,IF(A32&lt;=$B$5,1-(1-$B$1)*(1+$B$2*(A32-$B$4)/$B$3)^(-1/$B$2),1))</f>
        <v>0.93953577654812181</v>
      </c>
      <c r="C32">
        <f t="shared" si="1"/>
        <v>6.0464223451878185E-2</v>
      </c>
      <c r="D32">
        <f t="shared" si="2"/>
        <v>0.97883752179184269</v>
      </c>
      <c r="E32">
        <f t="shared" si="3"/>
        <v>2.1162478208157309E-2</v>
      </c>
    </row>
    <row r="33" spans="1:5" x14ac:dyDescent="0.35">
      <c r="A33">
        <v>0.16</v>
      </c>
      <c r="B33">
        <f t="shared" si="4"/>
        <v>0.95590414554650038</v>
      </c>
      <c r="C33">
        <f t="shared" si="1"/>
        <v>4.4095854453499617E-2</v>
      </c>
      <c r="D33">
        <f t="shared" si="2"/>
        <v>0.98456645094127515</v>
      </c>
      <c r="E33">
        <f t="shared" si="3"/>
        <v>1.5433549058724849E-2</v>
      </c>
    </row>
    <row r="34" spans="1:5" x14ac:dyDescent="0.35">
      <c r="A34">
        <v>0.2</v>
      </c>
      <c r="B34">
        <f t="shared" si="4"/>
        <v>0.96213261476634482</v>
      </c>
      <c r="C34">
        <f t="shared" si="1"/>
        <v>3.7867385233655182E-2</v>
      </c>
      <c r="D34">
        <f t="shared" si="2"/>
        <v>0.98674641516822059</v>
      </c>
      <c r="E34">
        <f t="shared" si="3"/>
        <v>1.3253584831779408E-2</v>
      </c>
    </row>
    <row r="35" spans="1:5" x14ac:dyDescent="0.35">
      <c r="A35">
        <v>0.3</v>
      </c>
      <c r="B35">
        <f t="shared" si="4"/>
        <v>0.97136636883698524</v>
      </c>
      <c r="C35">
        <f t="shared" si="1"/>
        <v>2.8633631163014761E-2</v>
      </c>
      <c r="D35">
        <f t="shared" si="2"/>
        <v>0.98997822909294475</v>
      </c>
      <c r="E35">
        <f t="shared" si="3"/>
        <v>1.002177090705525E-2</v>
      </c>
    </row>
    <row r="36" spans="1:5" x14ac:dyDescent="0.35">
      <c r="A36">
        <v>0.4</v>
      </c>
      <c r="B36">
        <f t="shared" si="4"/>
        <v>0.97655600220001082</v>
      </c>
      <c r="C36">
        <f t="shared" si="1"/>
        <v>2.344399779998918E-2</v>
      </c>
      <c r="D36">
        <f t="shared" si="2"/>
        <v>0.99179460077000381</v>
      </c>
      <c r="E36">
        <f t="shared" si="3"/>
        <v>8.2053992299961909E-3</v>
      </c>
    </row>
    <row r="37" spans="1:5" x14ac:dyDescent="0.35">
      <c r="A37">
        <v>0.5</v>
      </c>
      <c r="B37">
        <f t="shared" si="4"/>
        <v>0.97993844445063027</v>
      </c>
      <c r="C37">
        <f t="shared" si="1"/>
        <v>2.0061555549369725E-2</v>
      </c>
      <c r="D37">
        <f t="shared" si="2"/>
        <v>0.99297845555772069</v>
      </c>
      <c r="E37">
        <f t="shared" si="3"/>
        <v>7.021544442279315E-3</v>
      </c>
    </row>
    <row r="38" spans="1:5" x14ac:dyDescent="0.35">
      <c r="A38">
        <v>0.6</v>
      </c>
      <c r="B38">
        <f t="shared" si="4"/>
        <v>0.98234292763945508</v>
      </c>
      <c r="C38">
        <f t="shared" si="1"/>
        <v>1.7657072360544923E-2</v>
      </c>
      <c r="D38">
        <f t="shared" si="2"/>
        <v>0.99382002467380937</v>
      </c>
      <c r="E38">
        <f t="shared" si="3"/>
        <v>6.1799753261906343E-3</v>
      </c>
    </row>
    <row r="39" spans="1:5" x14ac:dyDescent="0.35">
      <c r="A39">
        <v>0.7</v>
      </c>
      <c r="B39">
        <f t="shared" si="4"/>
        <v>0.98415298127639195</v>
      </c>
      <c r="C39">
        <f t="shared" si="1"/>
        <v>1.5847018723608053E-2</v>
      </c>
      <c r="D39">
        <f t="shared" si="2"/>
        <v>0.9944535434467372</v>
      </c>
      <c r="E39">
        <f t="shared" si="3"/>
        <v>5.5464565532628018E-3</v>
      </c>
    </row>
    <row r="40" spans="1:5" x14ac:dyDescent="0.35">
      <c r="A40">
        <v>0.8</v>
      </c>
      <c r="B40">
        <f t="shared" si="4"/>
        <v>0.98557217940789243</v>
      </c>
      <c r="C40">
        <f t="shared" si="1"/>
        <v>1.4427820592107565E-2</v>
      </c>
      <c r="D40">
        <f t="shared" si="2"/>
        <v>0.99495026279276233</v>
      </c>
      <c r="E40">
        <f t="shared" si="3"/>
        <v>5.0497372072376701E-3</v>
      </c>
    </row>
    <row r="41" spans="1:5" x14ac:dyDescent="0.35">
      <c r="A41">
        <v>0.9</v>
      </c>
      <c r="B41">
        <f t="shared" si="4"/>
        <v>0.98671933121971933</v>
      </c>
      <c r="C41">
        <f t="shared" si="1"/>
        <v>1.3280668780280669E-2</v>
      </c>
      <c r="D41">
        <f t="shared" si="2"/>
        <v>0.99535176592690178</v>
      </c>
      <c r="E41">
        <f t="shared" si="3"/>
        <v>4.648234073098223E-3</v>
      </c>
    </row>
    <row r="42" spans="1:5" x14ac:dyDescent="0.35">
      <c r="A42">
        <v>1</v>
      </c>
      <c r="B42">
        <f t="shared" si="4"/>
        <v>0.98766877820235954</v>
      </c>
      <c r="C42">
        <f t="shared" si="1"/>
        <v>1.2331221797640457E-2</v>
      </c>
      <c r="D42">
        <f t="shared" si="2"/>
        <v>0.99568407237082579</v>
      </c>
      <c r="E42">
        <f t="shared" si="3"/>
        <v>4.3159276291742099E-3</v>
      </c>
    </row>
    <row r="43" spans="1:5" x14ac:dyDescent="0.35">
      <c r="A43">
        <v>1.1000000000000001</v>
      </c>
      <c r="B43">
        <f t="shared" si="4"/>
        <v>0.98846959153364733</v>
      </c>
      <c r="C43">
        <f t="shared" si="1"/>
        <v>1.1530408466352671E-2</v>
      </c>
      <c r="D43">
        <f t="shared" si="2"/>
        <v>0.99596435703677655</v>
      </c>
      <c r="E43">
        <f t="shared" si="3"/>
        <v>4.0356429632234514E-3</v>
      </c>
    </row>
    <row r="44" spans="1:5" x14ac:dyDescent="0.35">
      <c r="A44">
        <v>1.2</v>
      </c>
      <c r="B44">
        <f t="shared" si="4"/>
        <v>0.98915556399130078</v>
      </c>
      <c r="C44">
        <f t="shared" si="1"/>
        <v>1.0844436008699221E-2</v>
      </c>
      <c r="D44">
        <f t="shared" si="2"/>
        <v>0.99620444739695524</v>
      </c>
      <c r="E44">
        <f t="shared" si="3"/>
        <v>3.7955526030447606E-3</v>
      </c>
    </row>
    <row r="45" spans="1:5" x14ac:dyDescent="0.35">
      <c r="A45">
        <v>1.3</v>
      </c>
      <c r="B45">
        <f t="shared" si="4"/>
        <v>0.98975078248430215</v>
      </c>
      <c r="C45">
        <f t="shared" si="1"/>
        <v>1.024921751569785E-2</v>
      </c>
      <c r="D45">
        <f t="shared" si="2"/>
        <v>0.99641277386950589</v>
      </c>
      <c r="E45">
        <f t="shared" si="3"/>
        <v>3.5872261304941144E-3</v>
      </c>
    </row>
    <row r="46" spans="1:5" x14ac:dyDescent="0.35">
      <c r="A46">
        <v>1.4</v>
      </c>
      <c r="B46">
        <f t="shared" si="4"/>
        <v>0.99027291334919654</v>
      </c>
      <c r="C46">
        <f t="shared" si="1"/>
        <v>9.7270866508034626E-3</v>
      </c>
      <c r="D46">
        <f t="shared" si="2"/>
        <v>0.99659551967221882</v>
      </c>
      <c r="E46">
        <f t="shared" si="3"/>
        <v>3.4044803277811786E-3</v>
      </c>
    </row>
    <row r="47" spans="1:5" x14ac:dyDescent="0.35">
      <c r="A47">
        <v>1.5</v>
      </c>
      <c r="B47">
        <f t="shared" si="4"/>
        <v>0.99073522975264716</v>
      </c>
      <c r="C47">
        <f t="shared" si="1"/>
        <v>9.2647702473528382E-3</v>
      </c>
      <c r="D47">
        <f t="shared" si="2"/>
        <v>0.99675733041342662</v>
      </c>
      <c r="E47">
        <f t="shared" si="3"/>
        <v>3.2426695865733768E-3</v>
      </c>
    </row>
    <row r="48" spans="1:5" x14ac:dyDescent="0.35">
      <c r="A48">
        <v>1.6</v>
      </c>
      <c r="B48">
        <f t="shared" si="4"/>
        <v>0.99114791166760119</v>
      </c>
      <c r="C48">
        <f t="shared" si="1"/>
        <v>8.8520883323988109E-3</v>
      </c>
      <c r="D48">
        <f t="shared" si="2"/>
        <v>0.99690176908366046</v>
      </c>
      <c r="E48">
        <f t="shared" si="3"/>
        <v>3.0982309163395394E-3</v>
      </c>
    </row>
    <row r="49" spans="1:5" x14ac:dyDescent="0.35">
      <c r="A49">
        <v>1.7</v>
      </c>
      <c r="B49">
        <f t="shared" si="4"/>
        <v>0.99151890702516443</v>
      </c>
      <c r="C49">
        <f t="shared" si="1"/>
        <v>8.481092974835569E-3</v>
      </c>
      <c r="D49">
        <f t="shared" si="2"/>
        <v>0.99703161745880764</v>
      </c>
      <c r="E49">
        <f t="shared" si="3"/>
        <v>2.9683825411923603E-3</v>
      </c>
    </row>
    <row r="50" spans="1:5" x14ac:dyDescent="0.35">
      <c r="A50">
        <v>1.8</v>
      </c>
      <c r="B50">
        <f t="shared" si="4"/>
        <v>0.99185451841343308</v>
      </c>
      <c r="C50">
        <f t="shared" si="1"/>
        <v>8.1454815865669161E-3</v>
      </c>
      <c r="D50">
        <f t="shared" si="2"/>
        <v>0.9971490814447016</v>
      </c>
      <c r="E50">
        <f t="shared" si="3"/>
        <v>2.8509185552983984E-3</v>
      </c>
    </row>
    <row r="51" spans="1:5" x14ac:dyDescent="0.35">
      <c r="A51">
        <v>1.9</v>
      </c>
      <c r="B51">
        <f t="shared" si="4"/>
        <v>0.9921598126853074</v>
      </c>
      <c r="C51">
        <f t="shared" si="1"/>
        <v>7.8401873146926038E-3</v>
      </c>
      <c r="D51">
        <f t="shared" si="2"/>
        <v>0.99725593443985761</v>
      </c>
      <c r="E51">
        <f t="shared" si="3"/>
        <v>2.7440655601423947E-3</v>
      </c>
    </row>
    <row r="52" spans="1:5" x14ac:dyDescent="0.35">
      <c r="A52">
        <v>2</v>
      </c>
      <c r="B52">
        <f t="shared" si="4"/>
        <v>0.99243891314099686</v>
      </c>
      <c r="C52">
        <f t="shared" si="1"/>
        <v>7.561086859003141E-3</v>
      </c>
      <c r="D52">
        <f t="shared" si="2"/>
        <v>0.99735361959934887</v>
      </c>
      <c r="E52">
        <f t="shared" si="3"/>
        <v>2.6463804006511271E-3</v>
      </c>
    </row>
    <row r="53" spans="1:5" x14ac:dyDescent="0.35">
      <c r="A53">
        <v>2.1</v>
      </c>
      <c r="B53">
        <f t="shared" si="4"/>
        <v>0.9926952119553234</v>
      </c>
      <c r="C53">
        <f t="shared" si="1"/>
        <v>7.3047880446766023E-3</v>
      </c>
      <c r="D53">
        <f t="shared" si="2"/>
        <v>0.9974433241843631</v>
      </c>
      <c r="E53">
        <f t="shared" si="3"/>
        <v>2.5566758156368996E-3</v>
      </c>
    </row>
    <row r="54" spans="1:5" x14ac:dyDescent="0.35">
      <c r="A54">
        <v>2.2000000000000002</v>
      </c>
      <c r="B54">
        <f t="shared" si="4"/>
        <v>0.99293152726713196</v>
      </c>
      <c r="C54">
        <f t="shared" si="1"/>
        <v>7.0684727328680363E-3</v>
      </c>
      <c r="D54">
        <f t="shared" si="2"/>
        <v>0.99752603454349609</v>
      </c>
      <c r="E54">
        <f t="shared" si="3"/>
        <v>2.4739654565039126E-3</v>
      </c>
    </row>
    <row r="55" spans="1:5" x14ac:dyDescent="0.35">
      <c r="A55">
        <v>2.2999999999999998</v>
      </c>
      <c r="B55">
        <f t="shared" si="4"/>
        <v>0.99315022113295948</v>
      </c>
      <c r="C55">
        <f t="shared" si="1"/>
        <v>6.8497788670405235E-3</v>
      </c>
      <c r="D55">
        <f t="shared" si="2"/>
        <v>0.99760257739653579</v>
      </c>
      <c r="E55">
        <f t="shared" si="3"/>
        <v>2.3974226034642054E-3</v>
      </c>
    </row>
    <row r="56" spans="1:5" x14ac:dyDescent="0.35">
      <c r="A56">
        <v>2.4</v>
      </c>
      <c r="B56">
        <f t="shared" si="4"/>
        <v>0.99335328932400391</v>
      </c>
      <c r="C56">
        <f t="shared" si="1"/>
        <v>6.6467106759960926E-3</v>
      </c>
      <c r="D56">
        <f t="shared" si="2"/>
        <v>0.99767365126340146</v>
      </c>
      <c r="E56">
        <f t="shared" si="3"/>
        <v>2.326348736598538E-3</v>
      </c>
    </row>
    <row r="57" spans="1:5" x14ac:dyDescent="0.35">
      <c r="A57">
        <v>2.5</v>
      </c>
      <c r="B57">
        <f t="shared" si="4"/>
        <v>0.99354243054824232</v>
      </c>
      <c r="C57">
        <f t="shared" si="1"/>
        <v>6.4575694517576832E-3</v>
      </c>
      <c r="D57">
        <f t="shared" si="2"/>
        <v>0.99773985069188487</v>
      </c>
      <c r="E57">
        <f t="shared" si="3"/>
        <v>2.2601493081151336E-3</v>
      </c>
    </row>
    <row r="58" spans="1:5" x14ac:dyDescent="0.35">
      <c r="A58">
        <v>2.6</v>
      </c>
      <c r="B58">
        <f t="shared" si="4"/>
        <v>0.99371910042409872</v>
      </c>
      <c r="C58">
        <f t="shared" si="1"/>
        <v>6.2808995759012776E-3</v>
      </c>
      <c r="D58">
        <f t="shared" si="2"/>
        <v>0.99780168514843448</v>
      </c>
      <c r="E58">
        <f t="shared" si="3"/>
        <v>2.1983148515655193E-3</v>
      </c>
    </row>
    <row r="59" spans="1:5" x14ac:dyDescent="0.35">
      <c r="A59">
        <v>2.7</v>
      </c>
      <c r="B59">
        <f t="shared" si="4"/>
        <v>0.99388455400645725</v>
      </c>
      <c r="C59">
        <f t="shared" si="1"/>
        <v>6.1154459935427452E-3</v>
      </c>
      <c r="D59">
        <f t="shared" si="2"/>
        <v>0.99785959390226009</v>
      </c>
      <c r="E59">
        <f t="shared" si="3"/>
        <v>2.1404060977399109E-3</v>
      </c>
    </row>
    <row r="60" spans="1:5" x14ac:dyDescent="0.35">
      <c r="A60">
        <v>2.8</v>
      </c>
      <c r="B60">
        <f t="shared" si="4"/>
        <v>0.994039879616198</v>
      </c>
      <c r="C60">
        <f t="shared" si="1"/>
        <v>5.9601203838020034E-3</v>
      </c>
      <c r="D60">
        <f t="shared" si="2"/>
        <v>0.99791395786566928</v>
      </c>
      <c r="E60">
        <f t="shared" si="3"/>
        <v>2.0860421343307234E-3</v>
      </c>
    </row>
    <row r="61" spans="1:5" x14ac:dyDescent="0.35">
      <c r="A61">
        <v>2.9</v>
      </c>
      <c r="B61">
        <f t="shared" si="4"/>
        <v>0.99418602599095163</v>
      </c>
      <c r="C61">
        <f t="shared" si="1"/>
        <v>5.8139740090483727E-3</v>
      </c>
      <c r="D61">
        <f t="shared" si="2"/>
        <v>0.997965109096833</v>
      </c>
      <c r="E61">
        <f t="shared" si="3"/>
        <v>2.0348909031669971E-3</v>
      </c>
    </row>
    <row r="62" spans="1:5" x14ac:dyDescent="0.35">
      <c r="A62">
        <v>3</v>
      </c>
      <c r="B62">
        <f t="shared" si="4"/>
        <v>0.99432382425482979</v>
      </c>
      <c r="C62">
        <f t="shared" si="1"/>
        <v>5.6761757451702088E-3</v>
      </c>
      <c r="D62">
        <f t="shared" si="2"/>
        <v>0.99801333848919038</v>
      </c>
      <c r="E62">
        <f t="shared" si="3"/>
        <v>1.9866615108096175E-3</v>
      </c>
    </row>
    <row r="63" spans="1:5" x14ac:dyDescent="0.35">
      <c r="A63">
        <v>3.1</v>
      </c>
      <c r="B63">
        <f t="shared" si="4"/>
        <v>0.99445400583141852</v>
      </c>
      <c r="C63">
        <f t="shared" si="1"/>
        <v>5.5459941685814806E-3</v>
      </c>
      <c r="D63">
        <f t="shared" si="2"/>
        <v>0.99805890204099657</v>
      </c>
      <c r="E63">
        <f t="shared" si="3"/>
        <v>1.941097959003435E-3</v>
      </c>
    </row>
    <row r="64" spans="1:5" x14ac:dyDescent="0.35">
      <c r="A64">
        <v>3.2</v>
      </c>
      <c r="B64">
        <f t="shared" si="4"/>
        <v>0.99457721715276171</v>
      </c>
      <c r="C64">
        <f t="shared" si="1"/>
        <v>5.4227828472382944E-3</v>
      </c>
      <c r="D64">
        <f t="shared" si="2"/>
        <v>0.99810202600346654</v>
      </c>
      <c r="E64">
        <f t="shared" si="3"/>
        <v>1.8979739965334641E-3</v>
      </c>
    </row>
    <row r="65" spans="1:5" x14ac:dyDescent="0.35">
      <c r="A65">
        <v>3.3</v>
      </c>
      <c r="B65">
        <f t="shared" si="4"/>
        <v>0.99469403181735749</v>
      </c>
      <c r="C65">
        <f t="shared" si="1"/>
        <v>5.3059681826425065E-3</v>
      </c>
      <c r="D65">
        <f t="shared" si="2"/>
        <v>0.99814291113607501</v>
      </c>
      <c r="E65">
        <f t="shared" si="3"/>
        <v>1.8570888639249938E-3</v>
      </c>
    </row>
    <row r="66" spans="1:5" x14ac:dyDescent="0.35">
      <c r="A66">
        <v>3.4</v>
      </c>
      <c r="B66">
        <f t="shared" si="4"/>
        <v>0.99480496070175972</v>
      </c>
      <c r="C66">
        <f t="shared" si="1"/>
        <v>5.1950392982402782E-3</v>
      </c>
      <c r="D66">
        <f t="shared" si="2"/>
        <v>0.9981817362456159</v>
      </c>
      <c r="E66">
        <f t="shared" si="3"/>
        <v>1.8182637543840974E-3</v>
      </c>
    </row>
    <row r="67" spans="1:5" x14ac:dyDescent="0.35">
      <c r="A67">
        <v>3.5</v>
      </c>
      <c r="B67">
        <f t="shared" si="4"/>
        <v>0.9949104604189748</v>
      </c>
      <c r="C67">
        <f t="shared" si="1"/>
        <v>5.0895395810252042E-3</v>
      </c>
      <c r="D67">
        <f t="shared" si="2"/>
        <v>0.99821866114664126</v>
      </c>
      <c r="E67">
        <f t="shared" si="3"/>
        <v>1.7813388533587382E-3</v>
      </c>
    </row>
    <row r="68" spans="1:5" x14ac:dyDescent="0.35">
      <c r="A68">
        <v>3.6</v>
      </c>
      <c r="B68">
        <f t="shared" si="4"/>
        <v>0.99501094043245242</v>
      </c>
      <c r="C68">
        <f t="shared" si="1"/>
        <v>4.9890595675475824E-3</v>
      </c>
      <c r="D68">
        <f t="shared" si="2"/>
        <v>0.9982538291513583</v>
      </c>
      <c r="E68">
        <f t="shared" si="3"/>
        <v>1.7461708486417038E-3</v>
      </c>
    </row>
    <row r="69" spans="1:5" x14ac:dyDescent="0.35">
      <c r="A69">
        <v>3.7</v>
      </c>
      <c r="B69">
        <f t="shared" si="4"/>
        <v>0.99510676906998474</v>
      </c>
      <c r="C69">
        <f t="shared" si="1"/>
        <v>4.8932309300152577E-3</v>
      </c>
      <c r="D69">
        <f t="shared" si="2"/>
        <v>0.99828736917449468</v>
      </c>
      <c r="E69">
        <f t="shared" si="3"/>
        <v>1.7126308255053235E-3</v>
      </c>
    </row>
    <row r="70" spans="1:5" x14ac:dyDescent="0.35">
      <c r="A70">
        <v>3.8</v>
      </c>
      <c r="B70">
        <f t="shared" si="4"/>
        <v>0.99519827863215782</v>
      </c>
      <c r="C70">
        <f t="shared" si="1"/>
        <v>4.8017213678421822E-3</v>
      </c>
      <c r="D70">
        <f t="shared" si="2"/>
        <v>0.9983193975212552</v>
      </c>
      <c r="E70">
        <f t="shared" si="3"/>
        <v>1.6806024787447971E-3</v>
      </c>
    </row>
    <row r="71" spans="1:5" x14ac:dyDescent="0.35">
      <c r="A71">
        <v>3.9</v>
      </c>
      <c r="B71">
        <f t="shared" si="4"/>
        <v>0.99528576975144301</v>
      </c>
      <c r="C71">
        <f t="shared" si="1"/>
        <v>4.7142302485569942E-3</v>
      </c>
      <c r="D71">
        <f t="shared" si="2"/>
        <v>0.99835001941300505</v>
      </c>
      <c r="E71">
        <f t="shared" si="3"/>
        <v>1.649980586994948E-3</v>
      </c>
    </row>
    <row r="72" spans="1:5" x14ac:dyDescent="0.35">
      <c r="A72">
        <v>4</v>
      </c>
      <c r="B72">
        <f t="shared" si="4"/>
        <v>0.99536951512787153</v>
      </c>
      <c r="C72">
        <f t="shared" si="1"/>
        <v>4.6304848721284708E-3</v>
      </c>
      <c r="D72">
        <f t="shared" si="2"/>
        <v>0.99837933029475501</v>
      </c>
      <c r="E72">
        <f t="shared" si="3"/>
        <v>1.6206697052449925E-3</v>
      </c>
    </row>
    <row r="73" spans="1:5" x14ac:dyDescent="0.35">
      <c r="A73">
        <v>4.0999999999999996</v>
      </c>
      <c r="B73">
        <f t="shared" si="4"/>
        <v>0.99544976274350871</v>
      </c>
      <c r="C73">
        <f t="shared" ref="C73:C89" si="5">1-B73</f>
        <v>4.5502372564912852E-3</v>
      </c>
      <c r="D73">
        <f t="shared" ref="D73:D89" si="6">(13+7*B73)/20</f>
        <v>0.99840741696022806</v>
      </c>
      <c r="E73">
        <f t="shared" ref="E73:E89" si="7">1-D73</f>
        <v>1.5925830397719443E-3</v>
      </c>
    </row>
    <row r="74" spans="1:5" x14ac:dyDescent="0.35">
      <c r="A74">
        <v>4.2</v>
      </c>
      <c r="B74">
        <f t="shared" si="4"/>
        <v>0.9955267386391442</v>
      </c>
      <c r="C74">
        <f t="shared" si="5"/>
        <v>4.4732613608557958E-3</v>
      </c>
      <c r="D74">
        <f t="shared" si="6"/>
        <v>0.99843435852370044</v>
      </c>
      <c r="E74">
        <f t="shared" si="7"/>
        <v>1.5656414762995619E-3</v>
      </c>
    </row>
    <row r="75" spans="1:5" x14ac:dyDescent="0.35">
      <c r="A75">
        <v>4.3</v>
      </c>
      <c r="B75">
        <f t="shared" si="4"/>
        <v>0.99560064932163284</v>
      </c>
      <c r="C75">
        <f t="shared" si="5"/>
        <v>4.3993506783671643E-3</v>
      </c>
      <c r="D75">
        <f t="shared" si="6"/>
        <v>0.99846022726257144</v>
      </c>
      <c r="E75">
        <f t="shared" si="7"/>
        <v>1.5397727374285575E-3</v>
      </c>
    </row>
    <row r="76" spans="1:5" x14ac:dyDescent="0.35">
      <c r="A76">
        <v>4.4000000000000004</v>
      </c>
      <c r="B76">
        <f t="shared" si="4"/>
        <v>0.99567168385830784</v>
      </c>
      <c r="C76">
        <f t="shared" si="5"/>
        <v>4.3283161416921567E-3</v>
      </c>
      <c r="D76">
        <f t="shared" si="6"/>
        <v>0.99848508935040781</v>
      </c>
      <c r="E76">
        <f t="shared" si="7"/>
        <v>1.5149106495921938E-3</v>
      </c>
    </row>
    <row r="77" spans="1:5" x14ac:dyDescent="0.35">
      <c r="A77">
        <v>4.5</v>
      </c>
      <c r="B77">
        <f t="shared" si="4"/>
        <v>0.99574001570520398</v>
      </c>
      <c r="C77">
        <f t="shared" si="5"/>
        <v>4.2599842947960154E-3</v>
      </c>
      <c r="D77">
        <f t="shared" si="6"/>
        <v>0.99850900549682142</v>
      </c>
      <c r="E77">
        <f t="shared" si="7"/>
        <v>1.4909945031785776E-3</v>
      </c>
    </row>
    <row r="78" spans="1:5" x14ac:dyDescent="0.35">
      <c r="A78">
        <v>4.5999999999999996</v>
      </c>
      <c r="B78">
        <f t="shared" si="4"/>
        <v>0.99580580430798404</v>
      </c>
      <c r="C78">
        <f t="shared" si="5"/>
        <v>4.1941956920159562E-3</v>
      </c>
      <c r="D78">
        <f t="shared" si="6"/>
        <v>0.99853203150779435</v>
      </c>
      <c r="E78">
        <f t="shared" si="7"/>
        <v>1.4679684922056513E-3</v>
      </c>
    </row>
    <row r="79" spans="1:5" x14ac:dyDescent="0.35">
      <c r="A79">
        <v>4.7</v>
      </c>
      <c r="B79">
        <f t="shared" si="4"/>
        <v>0.99586919650806804</v>
      </c>
      <c r="C79">
        <f t="shared" si="5"/>
        <v>4.1308034919319558E-3</v>
      </c>
      <c r="D79">
        <f t="shared" si="6"/>
        <v>0.9985542187778238</v>
      </c>
      <c r="E79">
        <f t="shared" si="7"/>
        <v>1.4457812221762012E-3</v>
      </c>
    </row>
    <row r="80" spans="1:5" x14ac:dyDescent="0.35">
      <c r="A80">
        <v>4.8</v>
      </c>
      <c r="B80">
        <f t="shared" si="4"/>
        <v>0.99593032778124013</v>
      </c>
      <c r="C80">
        <f t="shared" si="5"/>
        <v>4.0696722187598677E-3</v>
      </c>
      <c r="D80">
        <f t="shared" si="6"/>
        <v>0.99857561472343404</v>
      </c>
      <c r="E80">
        <f t="shared" si="7"/>
        <v>1.4243852765659648E-3</v>
      </c>
    </row>
    <row r="81" spans="1:5" x14ac:dyDescent="0.35">
      <c r="A81">
        <v>4.9000000000000004</v>
      </c>
      <c r="B81">
        <f t="shared" si="4"/>
        <v>0.99598932333170709</v>
      </c>
      <c r="C81">
        <f t="shared" si="5"/>
        <v>4.0106766682929118E-3</v>
      </c>
      <c r="D81">
        <f t="shared" si="6"/>
        <v>0.99859626316609751</v>
      </c>
      <c r="E81">
        <f t="shared" si="7"/>
        <v>1.4037368339024914E-3</v>
      </c>
    </row>
    <row r="82" spans="1:5" x14ac:dyDescent="0.35">
      <c r="A82">
        <v>5</v>
      </c>
      <c r="B82">
        <f t="shared" si="4"/>
        <v>0.9960462990610347</v>
      </c>
      <c r="C82">
        <f t="shared" si="5"/>
        <v>3.9537009389652988E-3</v>
      </c>
      <c r="D82">
        <f t="shared" si="6"/>
        <v>0.99861620467136214</v>
      </c>
      <c r="E82">
        <f t="shared" si="7"/>
        <v>1.3837953286378601E-3</v>
      </c>
    </row>
    <row r="83" spans="1:5" x14ac:dyDescent="0.35">
      <c r="A83">
        <v>5.0999999999999996</v>
      </c>
      <c r="B83">
        <f t="shared" si="4"/>
        <v>0.99610136242844971</v>
      </c>
      <c r="C83">
        <f t="shared" si="5"/>
        <v>3.8986375715502897E-3</v>
      </c>
      <c r="D83">
        <f t="shared" si="6"/>
        <v>0.99863547684995735</v>
      </c>
      <c r="E83">
        <f t="shared" si="7"/>
        <v>1.3645231500426513E-3</v>
      </c>
    </row>
    <row r="84" spans="1:5" x14ac:dyDescent="0.35">
      <c r="A84">
        <v>5.2</v>
      </c>
      <c r="B84">
        <f t="shared" si="4"/>
        <v>0.99615461321654319</v>
      </c>
      <c r="C84">
        <f t="shared" si="5"/>
        <v>3.8453867834568056E-3</v>
      </c>
      <c r="D84">
        <f t="shared" si="6"/>
        <v>0.99865411462579012</v>
      </c>
      <c r="E84">
        <f t="shared" si="7"/>
        <v>1.3458853742098764E-3</v>
      </c>
    </row>
    <row r="85" spans="1:5" x14ac:dyDescent="0.35">
      <c r="A85">
        <v>5.3</v>
      </c>
      <c r="B85">
        <f t="shared" si="4"/>
        <v>0.99620614421436904</v>
      </c>
      <c r="C85">
        <f t="shared" si="5"/>
        <v>3.7938557856309618E-3</v>
      </c>
      <c r="D85">
        <f t="shared" si="6"/>
        <v>0.99867215047502922</v>
      </c>
      <c r="E85">
        <f t="shared" si="7"/>
        <v>1.3278495249707811E-3</v>
      </c>
    </row>
    <row r="86" spans="1:5" x14ac:dyDescent="0.35">
      <c r="A86">
        <v>5.4</v>
      </c>
      <c r="B86">
        <f t="shared" si="4"/>
        <v>0.99625604182821703</v>
      </c>
      <c r="C86">
        <f t="shared" si="5"/>
        <v>3.7439581717829684E-3</v>
      </c>
      <c r="D86">
        <f t="shared" si="6"/>
        <v>0.99868961463987593</v>
      </c>
      <c r="E86">
        <f t="shared" si="7"/>
        <v>1.3103853601240667E-3</v>
      </c>
    </row>
    <row r="87" spans="1:5" x14ac:dyDescent="0.35">
      <c r="A87">
        <v>5.5</v>
      </c>
      <c r="B87">
        <f t="shared" si="4"/>
        <v>0.99630438662889309</v>
      </c>
      <c r="C87">
        <f t="shared" si="5"/>
        <v>3.6956133711069095E-3</v>
      </c>
      <c r="D87">
        <f t="shared" si="6"/>
        <v>0.99870653532011266</v>
      </c>
      <c r="E87">
        <f t="shared" si="7"/>
        <v>1.293464679887335E-3</v>
      </c>
    </row>
    <row r="88" spans="1:5" x14ac:dyDescent="0.35">
      <c r="A88">
        <v>5.6</v>
      </c>
      <c r="B88">
        <f t="shared" si="4"/>
        <v>0.99635125384312762</v>
      </c>
      <c r="C88">
        <f t="shared" si="5"/>
        <v>3.6487461568723845E-3</v>
      </c>
      <c r="D88">
        <f t="shared" si="6"/>
        <v>0.99872293884509467</v>
      </c>
      <c r="E88">
        <f t="shared" si="7"/>
        <v>1.2770611549053346E-3</v>
      </c>
    </row>
    <row r="89" spans="1:5" x14ac:dyDescent="0.35">
      <c r="A89">
        <v>5.7</v>
      </c>
      <c r="B89">
        <f t="shared" si="4"/>
        <v>0.99639671379569439</v>
      </c>
      <c r="C89">
        <f t="shared" si="5"/>
        <v>3.6032862043056113E-3</v>
      </c>
      <c r="D89">
        <f t="shared" si="6"/>
        <v>0.99873884982849304</v>
      </c>
      <c r="E89">
        <f t="shared" si="7"/>
        <v>1.261150171506964E-3</v>
      </c>
    </row>
    <row r="90" spans="1:5" x14ac:dyDescent="0.35">
      <c r="A90">
        <v>5.8</v>
      </c>
      <c r="B90">
        <f t="shared" ref="B90:B153" si="8">IF(A90&lt;=$B$4,$B$1,IF(A90&lt;=$B$5,1-(1-$B$1)*(1+$B$2*(A90-$B$4)/$B$3)^(-1/$B$2),1))</f>
        <v>0.99644083230795222</v>
      </c>
      <c r="C90">
        <f t="shared" ref="C90:C153" si="9">1-B90</f>
        <v>3.5591676920477822E-3</v>
      </c>
      <c r="D90">
        <f t="shared" ref="D90:D153" si="10">(13+7*B90)/20</f>
        <v>0.99875429130778337</v>
      </c>
      <c r="E90">
        <f t="shared" ref="E90:E153" si="11">1-D90</f>
        <v>1.2457086922166294E-3</v>
      </c>
    </row>
    <row r="91" spans="1:5" x14ac:dyDescent="0.35">
      <c r="A91">
        <v>5.9</v>
      </c>
      <c r="B91">
        <f t="shared" si="8"/>
        <v>0.99648367105776858</v>
      </c>
      <c r="C91">
        <f t="shared" si="9"/>
        <v>3.516328942231417E-3</v>
      </c>
      <c r="D91">
        <f t="shared" si="10"/>
        <v>0.99876928487021899</v>
      </c>
      <c r="E91">
        <f t="shared" si="11"/>
        <v>1.2307151297810126E-3</v>
      </c>
    </row>
    <row r="92" spans="1:5" x14ac:dyDescent="0.35">
      <c r="A92">
        <v>6</v>
      </c>
      <c r="B92">
        <f t="shared" si="8"/>
        <v>0.99652528790515182</v>
      </c>
      <c r="C92">
        <f t="shared" si="9"/>
        <v>3.4747120948481758E-3</v>
      </c>
      <c r="D92">
        <f t="shared" si="10"/>
        <v>0.99878385076680298</v>
      </c>
      <c r="E92">
        <f t="shared" si="11"/>
        <v>1.216149233197017E-3</v>
      </c>
    </row>
    <row r="93" spans="1:5" x14ac:dyDescent="0.35">
      <c r="A93">
        <v>6.1</v>
      </c>
      <c r="B93">
        <f t="shared" si="8"/>
        <v>0.99656573718736607</v>
      </c>
      <c r="C93">
        <f t="shared" si="9"/>
        <v>3.4342628126339259E-3</v>
      </c>
      <c r="D93">
        <f t="shared" si="10"/>
        <v>0.99879800801557805</v>
      </c>
      <c r="E93">
        <f t="shared" si="11"/>
        <v>1.2019919844219462E-3</v>
      </c>
    </row>
    <row r="94" spans="1:5" x14ac:dyDescent="0.35">
      <c r="A94">
        <v>6.2</v>
      </c>
      <c r="B94">
        <f t="shared" si="8"/>
        <v>0.99660506998683751</v>
      </c>
      <c r="C94">
        <f t="shared" si="9"/>
        <v>3.3949300131624893E-3</v>
      </c>
      <c r="D94">
        <f t="shared" si="10"/>
        <v>0.99881177449539327</v>
      </c>
      <c r="E94">
        <f t="shared" si="11"/>
        <v>1.1882255046067325E-3</v>
      </c>
    </row>
    <row r="95" spans="1:5" x14ac:dyDescent="0.35">
      <c r="A95">
        <v>6.3</v>
      </c>
      <c r="B95">
        <f t="shared" si="8"/>
        <v>0.9966433343747515</v>
      </c>
      <c r="C95">
        <f t="shared" si="9"/>
        <v>3.3566656252485005E-3</v>
      </c>
      <c r="D95">
        <f t="shared" si="10"/>
        <v>0.99882516703116297</v>
      </c>
      <c r="E95">
        <f t="shared" si="11"/>
        <v>1.1748329688370251E-3</v>
      </c>
    </row>
    <row r="96" spans="1:5" x14ac:dyDescent="0.35">
      <c r="A96">
        <v>6.4</v>
      </c>
      <c r="B96">
        <f t="shared" si="8"/>
        <v>0.99668057563289314</v>
      </c>
      <c r="C96">
        <f t="shared" si="9"/>
        <v>3.3194243671068602E-3</v>
      </c>
      <c r="D96">
        <f t="shared" si="10"/>
        <v>0.9988382014715127</v>
      </c>
      <c r="E96">
        <f t="shared" si="11"/>
        <v>1.1617985284873011E-3</v>
      </c>
    </row>
    <row r="97" spans="1:5" x14ac:dyDescent="0.35">
      <c r="A97">
        <v>6.5</v>
      </c>
      <c r="B97">
        <f t="shared" si="8"/>
        <v>0.99671683645597886</v>
      </c>
      <c r="C97">
        <f t="shared" si="9"/>
        <v>3.2831635440211393E-3</v>
      </c>
      <c r="D97">
        <f t="shared" si="10"/>
        <v>0.99885089275959271</v>
      </c>
      <c r="E97">
        <f t="shared" si="11"/>
        <v>1.1491072404072877E-3</v>
      </c>
    </row>
    <row r="98" spans="1:5" x14ac:dyDescent="0.35">
      <c r="A98">
        <v>6.6</v>
      </c>
      <c r="B98">
        <f t="shared" si="8"/>
        <v>0.99675215713646559</v>
      </c>
      <c r="C98">
        <f t="shared" si="9"/>
        <v>3.2478428635344114E-3</v>
      </c>
      <c r="D98">
        <f t="shared" si="10"/>
        <v>0.99886325499776307</v>
      </c>
      <c r="E98">
        <f t="shared" si="11"/>
        <v>1.1367450022369274E-3</v>
      </c>
    </row>
    <row r="99" spans="1:5" x14ac:dyDescent="0.35">
      <c r="A99">
        <v>6.7</v>
      </c>
      <c r="B99">
        <f t="shared" si="8"/>
        <v>0.99678657573359308</v>
      </c>
      <c r="C99">
        <f t="shared" si="9"/>
        <v>3.2134242664069168E-3</v>
      </c>
      <c r="D99">
        <f t="shared" si="10"/>
        <v>0.99887530150675763</v>
      </c>
      <c r="E99">
        <f t="shared" si="11"/>
        <v>1.1246984932423709E-3</v>
      </c>
    </row>
    <row r="100" spans="1:5" x14ac:dyDescent="0.35">
      <c r="A100">
        <v>6.8</v>
      </c>
      <c r="B100">
        <f t="shared" si="8"/>
        <v>0.99682012822821786</v>
      </c>
      <c r="C100">
        <f t="shared" si="9"/>
        <v>3.179871771782139E-3</v>
      </c>
      <c r="D100">
        <f t="shared" si="10"/>
        <v>0.99888704487987623</v>
      </c>
      <c r="E100">
        <f t="shared" si="11"/>
        <v>1.1129551201237708E-3</v>
      </c>
    </row>
    <row r="101" spans="1:5" x14ac:dyDescent="0.35">
      <c r="A101">
        <v>6.9</v>
      </c>
      <c r="B101">
        <f t="shared" si="8"/>
        <v>0.99685284866482071</v>
      </c>
      <c r="C101">
        <f t="shared" si="9"/>
        <v>3.1471513351792879E-3</v>
      </c>
      <c r="D101">
        <f t="shared" si="10"/>
        <v>0.99889849703268718</v>
      </c>
      <c r="E101">
        <f t="shared" si="11"/>
        <v>1.1015029673128174E-3</v>
      </c>
    </row>
    <row r="102" spans="1:5" x14ac:dyDescent="0.35">
      <c r="A102">
        <v>6.9999999999999902</v>
      </c>
      <c r="B102">
        <f t="shared" si="8"/>
        <v>0.99688476928191982</v>
      </c>
      <c r="C102">
        <f t="shared" si="9"/>
        <v>3.1152307180801753E-3</v>
      </c>
      <c r="D102">
        <f t="shared" si="10"/>
        <v>0.99890966924867186</v>
      </c>
      <c r="E102">
        <f t="shared" si="11"/>
        <v>1.0903307513281391E-3</v>
      </c>
    </row>
    <row r="103" spans="1:5" x14ac:dyDescent="0.35">
      <c r="A103">
        <v>7.0999999999999899</v>
      </c>
      <c r="B103">
        <f t="shared" si="8"/>
        <v>0.9969159206319852</v>
      </c>
      <c r="C103">
        <f t="shared" si="9"/>
        <v>3.0840793680148026E-3</v>
      </c>
      <c r="D103">
        <f t="shared" si="10"/>
        <v>0.9989205722211949</v>
      </c>
      <c r="E103">
        <f t="shared" si="11"/>
        <v>1.0794277788050977E-3</v>
      </c>
    </row>
    <row r="104" spans="1:5" x14ac:dyDescent="0.35">
      <c r="A104">
        <v>7.1999999999999904</v>
      </c>
      <c r="B104">
        <f t="shared" si="8"/>
        <v>0.996946331691835</v>
      </c>
      <c r="C104">
        <f t="shared" si="9"/>
        <v>3.0536683081650029E-3</v>
      </c>
      <c r="D104">
        <f t="shared" si="10"/>
        <v>0.99893121609214219</v>
      </c>
      <c r="E104">
        <f t="shared" si="11"/>
        <v>1.0687839078578065E-3</v>
      </c>
    </row>
    <row r="105" spans="1:5" x14ac:dyDescent="0.35">
      <c r="A105">
        <v>7.2999999999999901</v>
      </c>
      <c r="B105">
        <f t="shared" si="8"/>
        <v>0.99697602996438739</v>
      </c>
      <c r="C105">
        <f t="shared" si="9"/>
        <v>3.0239700356126109E-3</v>
      </c>
      <c r="D105">
        <f t="shared" si="10"/>
        <v>0.99894161048753571</v>
      </c>
      <c r="E105">
        <f t="shared" si="11"/>
        <v>1.0583895124642861E-3</v>
      </c>
    </row>
    <row r="106" spans="1:5" x14ac:dyDescent="0.35">
      <c r="A106">
        <v>7.3999999999999897</v>
      </c>
      <c r="B106">
        <f t="shared" si="8"/>
        <v>0.99700504157255543</v>
      </c>
      <c r="C106">
        <f t="shared" si="9"/>
        <v>2.9949584274445717E-3</v>
      </c>
      <c r="D106">
        <f t="shared" si="10"/>
        <v>0.99895176455039447</v>
      </c>
      <c r="E106">
        <f t="shared" si="11"/>
        <v>1.0482354496055279E-3</v>
      </c>
    </row>
    <row r="107" spans="1:5" x14ac:dyDescent="0.35">
      <c r="A107">
        <v>7.4999999999999902</v>
      </c>
      <c r="B107">
        <f t="shared" si="8"/>
        <v>0.99703339134598601</v>
      </c>
      <c r="C107">
        <f t="shared" si="9"/>
        <v>2.9666086540139913E-3</v>
      </c>
      <c r="D107">
        <f t="shared" si="10"/>
        <v>0.998961686971095</v>
      </c>
      <c r="E107">
        <f t="shared" si="11"/>
        <v>1.0383130289050024E-3</v>
      </c>
    </row>
    <row r="108" spans="1:5" x14ac:dyDescent="0.35">
      <c r="A108">
        <v>7.5999999999999899</v>
      </c>
      <c r="B108">
        <f t="shared" si="8"/>
        <v>0.99706110290127636</v>
      </c>
      <c r="C108">
        <f t="shared" si="9"/>
        <v>2.9388970987236362E-3</v>
      </c>
      <c r="D108">
        <f t="shared" si="10"/>
        <v>0.99897138601544666</v>
      </c>
      <c r="E108">
        <f t="shared" si="11"/>
        <v>1.0286139845533393E-3</v>
      </c>
    </row>
    <row r="109" spans="1:5" x14ac:dyDescent="0.35">
      <c r="A109">
        <v>7.6999999999999904</v>
      </c>
      <c r="B109">
        <f t="shared" si="8"/>
        <v>0.99708819871623688</v>
      </c>
      <c r="C109">
        <f t="shared" si="9"/>
        <v>2.9118012837631158E-3</v>
      </c>
      <c r="D109">
        <f t="shared" si="10"/>
        <v>0.99898086955068288</v>
      </c>
      <c r="E109">
        <f t="shared" si="11"/>
        <v>1.0191304493171183E-3</v>
      </c>
    </row>
    <row r="110" spans="1:5" x14ac:dyDescent="0.35">
      <c r="A110">
        <v>7.7999999999999901</v>
      </c>
      <c r="B110">
        <f t="shared" si="8"/>
        <v>0.99711470019871351</v>
      </c>
      <c r="C110">
        <f t="shared" si="9"/>
        <v>2.8852998012864894E-3</v>
      </c>
      <c r="D110">
        <f t="shared" si="10"/>
        <v>0.99899014506954986</v>
      </c>
      <c r="E110">
        <f t="shared" si="11"/>
        <v>1.0098549304501381E-3</v>
      </c>
    </row>
    <row r="111" spans="1:5" x14ac:dyDescent="0.35">
      <c r="A111">
        <v>7.8999999999999897</v>
      </c>
      <c r="B111">
        <f t="shared" si="8"/>
        <v>0.99714062775043011</v>
      </c>
      <c r="C111">
        <f t="shared" si="9"/>
        <v>2.8593722495698914E-3</v>
      </c>
      <c r="D111">
        <f t="shared" si="10"/>
        <v>0.99899921971265049</v>
      </c>
      <c r="E111">
        <f t="shared" si="11"/>
        <v>1.000780287349512E-3</v>
      </c>
    </row>
    <row r="112" spans="1:5" x14ac:dyDescent="0.35">
      <c r="A112">
        <v>7.9999999999999902</v>
      </c>
      <c r="B112">
        <f t="shared" si="8"/>
        <v>0.99716600082627205</v>
      </c>
      <c r="C112">
        <f t="shared" si="9"/>
        <v>2.8339991737279524E-3</v>
      </c>
      <c r="D112">
        <f t="shared" si="10"/>
        <v>0.99900810028919518</v>
      </c>
      <c r="E112">
        <f t="shared" si="11"/>
        <v>9.918997108048222E-4</v>
      </c>
    </row>
    <row r="113" spans="1:5" x14ac:dyDescent="0.35">
      <c r="A113">
        <v>8.0999999999999908</v>
      </c>
      <c r="B113">
        <f t="shared" si="8"/>
        <v>0.99719083798938568</v>
      </c>
      <c r="C113">
        <f t="shared" si="9"/>
        <v>2.8091620106143189E-3</v>
      </c>
      <c r="D113">
        <f t="shared" si="10"/>
        <v>0.99901679329628501</v>
      </c>
      <c r="E113">
        <f t="shared" si="11"/>
        <v>9.8320670371498942E-4</v>
      </c>
    </row>
    <row r="114" spans="1:5" x14ac:dyDescent="0.35">
      <c r="A114">
        <v>8.1999999999999904</v>
      </c>
      <c r="B114">
        <f t="shared" si="8"/>
        <v>0.99721515696243923</v>
      </c>
      <c r="C114">
        <f t="shared" si="9"/>
        <v>2.7848430375607691E-3</v>
      </c>
      <c r="D114">
        <f t="shared" si="10"/>
        <v>0.99902530493685371</v>
      </c>
      <c r="E114">
        <f t="shared" si="11"/>
        <v>9.746950631462914E-4</v>
      </c>
    </row>
    <row r="115" spans="1:5" x14ac:dyDescent="0.35">
      <c r="A115">
        <v>8.2999999999999901</v>
      </c>
      <c r="B115">
        <f t="shared" si="8"/>
        <v>0.99723897467535294</v>
      </c>
      <c r="C115">
        <f t="shared" si="9"/>
        <v>2.7610253246470595E-3</v>
      </c>
      <c r="D115">
        <f t="shared" si="10"/>
        <v>0.9990336411363735</v>
      </c>
      <c r="E115">
        <f t="shared" si="11"/>
        <v>9.6635886362650414E-4</v>
      </c>
    </row>
    <row r="116" spans="1:5" x14ac:dyDescent="0.35">
      <c r="A116">
        <v>8.3999999999999897</v>
      </c>
      <c r="B116">
        <f t="shared" si="8"/>
        <v>0.99726230730978394</v>
      </c>
      <c r="C116">
        <f t="shared" si="9"/>
        <v>2.7376926902160648E-3</v>
      </c>
      <c r="D116">
        <f t="shared" si="10"/>
        <v>0.99904180755842442</v>
      </c>
      <c r="E116">
        <f t="shared" si="11"/>
        <v>9.5819244157557826E-4</v>
      </c>
    </row>
    <row r="117" spans="1:5" x14ac:dyDescent="0.35">
      <c r="A117">
        <v>8.4999999999999893</v>
      </c>
      <c r="B117">
        <f t="shared" si="8"/>
        <v>0.99728517034061881</v>
      </c>
      <c r="C117">
        <f t="shared" si="9"/>
        <v>2.7148296593811905E-3</v>
      </c>
      <c r="D117">
        <f t="shared" si="10"/>
        <v>0.99904980961921663</v>
      </c>
      <c r="E117">
        <f t="shared" si="11"/>
        <v>9.5019038078336671E-4</v>
      </c>
    </row>
    <row r="118" spans="1:5" x14ac:dyDescent="0.35">
      <c r="A118">
        <v>8.5999999999999908</v>
      </c>
      <c r="B118">
        <f t="shared" si="8"/>
        <v>0.99730757857471009</v>
      </c>
      <c r="C118">
        <f t="shared" si="9"/>
        <v>2.6924214252899148E-3</v>
      </c>
      <c r="D118">
        <f t="shared" si="10"/>
        <v>0.99905765250114853</v>
      </c>
      <c r="E118">
        <f t="shared" si="11"/>
        <v>9.4234749885147018E-4</v>
      </c>
    </row>
    <row r="119" spans="1:5" x14ac:dyDescent="0.35">
      <c r="A119">
        <v>8.6999999999999904</v>
      </c>
      <c r="B119">
        <f t="shared" si="8"/>
        <v>0.99732954618706804</v>
      </c>
      <c r="C119">
        <f t="shared" si="9"/>
        <v>2.670453812931961E-3</v>
      </c>
      <c r="D119">
        <f t="shared" si="10"/>
        <v>0.99906534116547385</v>
      </c>
      <c r="E119">
        <f t="shared" si="11"/>
        <v>9.3465883452614751E-4</v>
      </c>
    </row>
    <row r="120" spans="1:5" x14ac:dyDescent="0.35">
      <c r="A120">
        <v>8.7999999999999901</v>
      </c>
      <c r="B120">
        <f t="shared" si="8"/>
        <v>0.99735108675470296</v>
      </c>
      <c r="C120">
        <f t="shared" si="9"/>
        <v>2.6489132452970354E-3</v>
      </c>
      <c r="D120">
        <f t="shared" si="10"/>
        <v>0.99907288036414599</v>
      </c>
      <c r="E120">
        <f t="shared" si="11"/>
        <v>9.2711963585401236E-4</v>
      </c>
    </row>
    <row r="121" spans="1:5" x14ac:dyDescent="0.35">
      <c r="A121">
        <v>8.8999999999999897</v>
      </c>
      <c r="B121">
        <f t="shared" si="8"/>
        <v>0.99737221328829362</v>
      </c>
      <c r="C121">
        <f t="shared" si="9"/>
        <v>2.6277867117063813E-3</v>
      </c>
      <c r="D121">
        <f t="shared" si="10"/>
        <v>0.99908027465090277</v>
      </c>
      <c r="E121">
        <f t="shared" si="11"/>
        <v>9.1972534909723347E-4</v>
      </c>
    </row>
    <row r="122" spans="1:5" x14ac:dyDescent="0.35">
      <c r="A122">
        <v>8.9999999999999893</v>
      </c>
      <c r="B122">
        <f t="shared" si="8"/>
        <v>0.99739293826184661</v>
      </c>
      <c r="C122">
        <f t="shared" si="9"/>
        <v>2.6070617381533934E-3</v>
      </c>
      <c r="D122">
        <f t="shared" si="10"/>
        <v>0.99908752839164627</v>
      </c>
      <c r="E122">
        <f t="shared" si="11"/>
        <v>9.1247160835372654E-4</v>
      </c>
    </row>
    <row r="123" spans="1:5" x14ac:dyDescent="0.35">
      <c r="A123">
        <v>9.0999999999999908</v>
      </c>
      <c r="B123">
        <f t="shared" si="8"/>
        <v>0.99741327364049115</v>
      </c>
      <c r="C123">
        <f t="shared" si="9"/>
        <v>2.5867263595088508E-3</v>
      </c>
      <c r="D123">
        <f t="shared" si="10"/>
        <v>0.99909464577417195</v>
      </c>
      <c r="E123">
        <f t="shared" si="11"/>
        <v>9.0535422582804781E-4</v>
      </c>
    </row>
    <row r="124" spans="1:5" x14ac:dyDescent="0.35">
      <c r="A124">
        <v>9.1999999999999904</v>
      </c>
      <c r="B124">
        <f t="shared" si="8"/>
        <v>0.99743323090655001</v>
      </c>
      <c r="C124">
        <f t="shared" si="9"/>
        <v>2.5667690934499943E-3</v>
      </c>
      <c r="D124">
        <f t="shared" si="10"/>
        <v>0.99910163081729253</v>
      </c>
      <c r="E124">
        <f t="shared" si="11"/>
        <v>8.9836918270747024E-4</v>
      </c>
    </row>
    <row r="125" spans="1:5" x14ac:dyDescent="0.35">
      <c r="A125">
        <v>9.2999999999999901</v>
      </c>
      <c r="B125">
        <f t="shared" si="8"/>
        <v>0.9974528210840069</v>
      </c>
      <c r="C125">
        <f t="shared" si="9"/>
        <v>2.547178915993098E-3</v>
      </c>
      <c r="D125">
        <f t="shared" si="10"/>
        <v>0.9991084873794025</v>
      </c>
      <c r="E125">
        <f t="shared" si="11"/>
        <v>8.9151262059750103E-4</v>
      </c>
    </row>
    <row r="126" spans="1:5" x14ac:dyDescent="0.35">
      <c r="A126">
        <v>9.3999999999999897</v>
      </c>
      <c r="B126">
        <f t="shared" si="8"/>
        <v>0.99747205476148726</v>
      </c>
      <c r="C126">
        <f t="shared" si="9"/>
        <v>2.527945238512741E-3</v>
      </c>
      <c r="D126">
        <f t="shared" si="10"/>
        <v>0.99911521916652057</v>
      </c>
      <c r="E126">
        <f t="shared" si="11"/>
        <v>8.8478083347942604E-4</v>
      </c>
    </row>
    <row r="127" spans="1:5" x14ac:dyDescent="0.35">
      <c r="A127">
        <v>9.4999999999999893</v>
      </c>
      <c r="B127">
        <f t="shared" si="8"/>
        <v>0.99749094211385658</v>
      </c>
      <c r="C127">
        <f t="shared" si="9"/>
        <v>2.5090578861434176E-3</v>
      </c>
      <c r="D127">
        <f t="shared" si="10"/>
        <v>0.99912182973984986</v>
      </c>
      <c r="E127">
        <f t="shared" si="11"/>
        <v>8.7817026015013511E-4</v>
      </c>
    </row>
    <row r="128" spans="1:5" x14ac:dyDescent="0.35">
      <c r="A128">
        <v>9.5999999999999908</v>
      </c>
      <c r="B128">
        <f t="shared" si="8"/>
        <v>0.99750949292253366</v>
      </c>
      <c r="C128">
        <f t="shared" si="9"/>
        <v>2.4905070774663418E-3</v>
      </c>
      <c r="D128">
        <f t="shared" si="10"/>
        <v>0.99912832252288675</v>
      </c>
      <c r="E128">
        <f t="shared" si="11"/>
        <v>8.7167747711325294E-4</v>
      </c>
    </row>
    <row r="129" spans="1:5" x14ac:dyDescent="0.35">
      <c r="A129">
        <v>9.6999999999999904</v>
      </c>
      <c r="B129">
        <f t="shared" si="8"/>
        <v>0.99752771659460682</v>
      </c>
      <c r="C129">
        <f t="shared" si="9"/>
        <v>2.472283405393183E-3</v>
      </c>
      <c r="D129">
        <f t="shared" si="10"/>
        <v>0.9991347008081124</v>
      </c>
      <c r="E129">
        <f t="shared" si="11"/>
        <v>8.6529919188760296E-4</v>
      </c>
    </row>
    <row r="130" spans="1:5" x14ac:dyDescent="0.35">
      <c r="A130">
        <v>9.7999999999999794</v>
      </c>
      <c r="B130">
        <f t="shared" si="8"/>
        <v>0.99754562218083587</v>
      </c>
      <c r="C130">
        <f t="shared" si="9"/>
        <v>2.454377819164133E-3</v>
      </c>
      <c r="D130">
        <f t="shared" si="10"/>
        <v>0.99914096776329264</v>
      </c>
      <c r="E130">
        <f t="shared" si="11"/>
        <v>8.5903223670735773E-4</v>
      </c>
    </row>
    <row r="131" spans="1:5" x14ac:dyDescent="0.35">
      <c r="A131">
        <v>9.8999999999999808</v>
      </c>
      <c r="B131">
        <f t="shared" si="8"/>
        <v>0.99756321839261508</v>
      </c>
      <c r="C131">
        <f t="shared" si="9"/>
        <v>2.4367816073849191E-3</v>
      </c>
      <c r="D131">
        <f t="shared" si="10"/>
        <v>0.99914712643741521</v>
      </c>
      <c r="E131">
        <f t="shared" si="11"/>
        <v>8.528735625847883E-4</v>
      </c>
    </row>
    <row r="132" spans="1:5" x14ac:dyDescent="0.35">
      <c r="A132">
        <v>9.9999999999999805</v>
      </c>
      <c r="B132">
        <f t="shared" si="8"/>
        <v>0.99758051361796674</v>
      </c>
      <c r="C132">
        <f t="shared" si="9"/>
        <v>2.4194863820332646E-3</v>
      </c>
      <c r="D132">
        <f t="shared" si="10"/>
        <v>0.99915317976628837</v>
      </c>
      <c r="E132">
        <f t="shared" si="11"/>
        <v>8.4682023371163151E-4</v>
      </c>
    </row>
    <row r="133" spans="1:5" x14ac:dyDescent="0.35">
      <c r="A133">
        <v>10.1</v>
      </c>
      <c r="B133">
        <f t="shared" si="8"/>
        <v>0.99759751593663037</v>
      </c>
      <c r="C133">
        <f t="shared" si="9"/>
        <v>2.4024840633696254E-3</v>
      </c>
      <c r="D133">
        <f t="shared" si="10"/>
        <v>0.99915913057782058</v>
      </c>
      <c r="E133">
        <f t="shared" si="11"/>
        <v>8.408694221794244E-4</v>
      </c>
    </row>
    <row r="134" spans="1:5" x14ac:dyDescent="0.35">
      <c r="A134">
        <v>10.199999999999999</v>
      </c>
      <c r="B134">
        <f t="shared" si="8"/>
        <v>0.99761423313430619</v>
      </c>
      <c r="C134">
        <f t="shared" si="9"/>
        <v>2.3857668656938058E-3</v>
      </c>
      <c r="D134">
        <f t="shared" si="10"/>
        <v>0.99916498159700706</v>
      </c>
      <c r="E134">
        <f t="shared" si="11"/>
        <v>8.350184029929375E-4</v>
      </c>
    </row>
    <row r="135" spans="1:5" x14ac:dyDescent="0.35">
      <c r="A135">
        <v>10.3</v>
      </c>
      <c r="B135">
        <f t="shared" si="8"/>
        <v>0.99763067271610928</v>
      </c>
      <c r="C135">
        <f t="shared" si="9"/>
        <v>2.3693272838907209E-3</v>
      </c>
      <c r="D135">
        <f t="shared" si="10"/>
        <v>0.99917073545063817</v>
      </c>
      <c r="E135">
        <f t="shared" si="11"/>
        <v>8.2926454936183003E-4</v>
      </c>
    </row>
    <row r="136" spans="1:5" x14ac:dyDescent="0.35">
      <c r="A136">
        <v>10.4</v>
      </c>
      <c r="B136">
        <f t="shared" si="8"/>
        <v>0.99764684191928343</v>
      </c>
      <c r="C136">
        <f t="shared" si="9"/>
        <v>2.3531580807165664E-3</v>
      </c>
      <c r="D136">
        <f t="shared" si="10"/>
        <v>0.99917639467174924</v>
      </c>
      <c r="E136">
        <f t="shared" si="11"/>
        <v>8.2360532825076493E-4</v>
      </c>
    </row>
    <row r="137" spans="1:5" x14ac:dyDescent="0.35">
      <c r="A137">
        <v>10.5</v>
      </c>
      <c r="B137">
        <f t="shared" si="8"/>
        <v>0.99766274772522423</v>
      </c>
      <c r="C137">
        <f t="shared" si="9"/>
        <v>2.3372522747757696E-3</v>
      </c>
      <c r="D137">
        <f t="shared" si="10"/>
        <v>0.99918196170382845</v>
      </c>
      <c r="E137">
        <f t="shared" si="11"/>
        <v>8.1803829617155266E-4</v>
      </c>
    </row>
    <row r="138" spans="1:5" x14ac:dyDescent="0.35">
      <c r="A138">
        <v>10.6</v>
      </c>
      <c r="B138">
        <f t="shared" si="8"/>
        <v>0.99767839687085402</v>
      </c>
      <c r="C138">
        <f t="shared" si="9"/>
        <v>2.3216031291459771E-3</v>
      </c>
      <c r="D138">
        <f t="shared" si="10"/>
        <v>0.999187438904799</v>
      </c>
      <c r="E138">
        <f t="shared" si="11"/>
        <v>8.1256109520100317E-4</v>
      </c>
    </row>
    <row r="139" spans="1:5" x14ac:dyDescent="0.35">
      <c r="A139">
        <v>10.7</v>
      </c>
      <c r="B139">
        <f t="shared" si="8"/>
        <v>0.99769379585938867</v>
      </c>
      <c r="C139">
        <f t="shared" si="9"/>
        <v>2.3062041406113343E-3</v>
      </c>
      <c r="D139">
        <f t="shared" si="10"/>
        <v>0.99919282855078606</v>
      </c>
      <c r="E139">
        <f t="shared" si="11"/>
        <v>8.0717144921393924E-4</v>
      </c>
    </row>
    <row r="140" spans="1:5" x14ac:dyDescent="0.35">
      <c r="A140">
        <v>10.8</v>
      </c>
      <c r="B140">
        <f t="shared" si="8"/>
        <v>0.99770895097053547</v>
      </c>
      <c r="C140">
        <f t="shared" si="9"/>
        <v>2.2910490294645314E-3</v>
      </c>
      <c r="D140">
        <f t="shared" si="10"/>
        <v>0.9991981328396875</v>
      </c>
      <c r="E140">
        <f t="shared" si="11"/>
        <v>8.0186716031249716E-4</v>
      </c>
    </row>
    <row r="141" spans="1:5" x14ac:dyDescent="0.35">
      <c r="A141">
        <v>10.9</v>
      </c>
      <c r="B141">
        <f t="shared" si="8"/>
        <v>0.9977238682701568</v>
      </c>
      <c r="C141">
        <f t="shared" si="9"/>
        <v>2.2761317298432004E-3</v>
      </c>
      <c r="D141">
        <f t="shared" si="10"/>
        <v>0.99920335389455484</v>
      </c>
      <c r="E141">
        <f t="shared" si="11"/>
        <v>7.9664610544516457E-4</v>
      </c>
    </row>
    <row r="142" spans="1:5" x14ac:dyDescent="0.35">
      <c r="A142">
        <v>11</v>
      </c>
      <c r="B142">
        <f t="shared" si="8"/>
        <v>0.99773855361943076</v>
      </c>
      <c r="C142">
        <f t="shared" si="9"/>
        <v>2.2614463805692431E-3</v>
      </c>
      <c r="D142">
        <f t="shared" si="10"/>
        <v>0.99920849376680076</v>
      </c>
      <c r="E142">
        <f t="shared" si="11"/>
        <v>7.9150623319923508E-4</v>
      </c>
    </row>
    <row r="143" spans="1:5" x14ac:dyDescent="0.35">
      <c r="A143">
        <v>11.1</v>
      </c>
      <c r="B143">
        <f t="shared" si="8"/>
        <v>0.99775301268354144</v>
      </c>
      <c r="C143">
        <f t="shared" si="9"/>
        <v>2.2469873164585596E-3</v>
      </c>
      <c r="D143">
        <f t="shared" si="10"/>
        <v>0.99921355443923954</v>
      </c>
      <c r="E143">
        <f t="shared" si="11"/>
        <v>7.8644556076046257E-4</v>
      </c>
    </row>
    <row r="144" spans="1:5" x14ac:dyDescent="0.35">
      <c r="A144">
        <v>11.2</v>
      </c>
      <c r="B144">
        <f t="shared" si="8"/>
        <v>0.99776725093992513</v>
      </c>
      <c r="C144">
        <f t="shared" si="9"/>
        <v>2.2327490600748678E-3</v>
      </c>
      <c r="D144">
        <f t="shared" si="10"/>
        <v>0.99921853782897385</v>
      </c>
      <c r="E144">
        <f t="shared" si="11"/>
        <v>7.8146217102614823E-4</v>
      </c>
    </row>
    <row r="145" spans="1:5" x14ac:dyDescent="0.35">
      <c r="A145">
        <v>11.3</v>
      </c>
      <c r="B145">
        <f t="shared" si="8"/>
        <v>0.99778127368610037</v>
      </c>
      <c r="C145">
        <f t="shared" si="9"/>
        <v>2.2187263138996327E-3</v>
      </c>
      <c r="D145">
        <f t="shared" si="10"/>
        <v>0.999223445790135</v>
      </c>
      <c r="E145">
        <f t="shared" si="11"/>
        <v>7.7655420986499912E-4</v>
      </c>
    </row>
    <row r="146" spans="1:5" x14ac:dyDescent="0.35">
      <c r="A146">
        <v>11.4</v>
      </c>
      <c r="B146">
        <f t="shared" si="8"/>
        <v>0.99779508604710465</v>
      </c>
      <c r="C146">
        <f t="shared" si="9"/>
        <v>2.2049139528953487E-3</v>
      </c>
      <c r="D146">
        <f t="shared" si="10"/>
        <v>0.99922828011648657</v>
      </c>
      <c r="E146">
        <f t="shared" si="11"/>
        <v>7.7171988351343312E-4</v>
      </c>
    </row>
    <row r="147" spans="1:5" x14ac:dyDescent="0.35">
      <c r="A147">
        <v>11.5</v>
      </c>
      <c r="B147">
        <f t="shared" si="8"/>
        <v>0.99780869298256236</v>
      </c>
      <c r="C147">
        <f t="shared" si="9"/>
        <v>2.1913070174376381E-3</v>
      </c>
      <c r="D147">
        <f t="shared" si="10"/>
        <v>0.99923304254389689</v>
      </c>
      <c r="E147">
        <f t="shared" si="11"/>
        <v>7.6695745610311228E-4</v>
      </c>
    </row>
    <row r="148" spans="1:5" x14ac:dyDescent="0.35">
      <c r="A148">
        <v>11.6</v>
      </c>
      <c r="B148">
        <f t="shared" si="8"/>
        <v>0.99782209929340449</v>
      </c>
      <c r="C148">
        <f t="shared" si="9"/>
        <v>2.1779007065955147E-3</v>
      </c>
      <c r="D148">
        <f t="shared" si="10"/>
        <v>0.99923773475269151</v>
      </c>
      <c r="E148">
        <f t="shared" si="11"/>
        <v>7.6226524730849121E-4</v>
      </c>
    </row>
    <row r="149" spans="1:5" x14ac:dyDescent="0.35">
      <c r="A149">
        <v>11.7</v>
      </c>
      <c r="B149">
        <f t="shared" si="8"/>
        <v>0.99783530962826028</v>
      </c>
      <c r="C149">
        <f t="shared" si="9"/>
        <v>2.1646903717397192E-3</v>
      </c>
      <c r="D149">
        <f t="shared" si="10"/>
        <v>0.99924235836989117</v>
      </c>
      <c r="E149">
        <f t="shared" si="11"/>
        <v>7.5764163010882957E-4</v>
      </c>
    </row>
    <row r="150" spans="1:5" x14ac:dyDescent="0.35">
      <c r="A150">
        <v>11.8</v>
      </c>
      <c r="B150">
        <f t="shared" si="8"/>
        <v>0.99784832848953897</v>
      </c>
      <c r="C150">
        <f t="shared" si="9"/>
        <v>2.1516715104610284E-3</v>
      </c>
      <c r="D150">
        <f t="shared" si="10"/>
        <v>0.99924691497133866</v>
      </c>
      <c r="E150">
        <f t="shared" si="11"/>
        <v>7.5308502866133775E-4</v>
      </c>
    </row>
    <row r="151" spans="1:5" x14ac:dyDescent="0.35">
      <c r="A151">
        <v>11.9</v>
      </c>
      <c r="B151">
        <f t="shared" si="8"/>
        <v>0.99786116023922034</v>
      </c>
      <c r="C151">
        <f t="shared" si="9"/>
        <v>2.138839760779665E-3</v>
      </c>
      <c r="D151">
        <f t="shared" si="10"/>
        <v>0.99925140608372709</v>
      </c>
      <c r="E151">
        <f t="shared" si="11"/>
        <v>7.485939162729105E-4</v>
      </c>
    </row>
    <row r="152" spans="1:5" x14ac:dyDescent="0.35">
      <c r="A152">
        <v>12</v>
      </c>
      <c r="B152">
        <f t="shared" si="8"/>
        <v>0.99787380910436896</v>
      </c>
      <c r="C152">
        <f t="shared" si="9"/>
        <v>2.1261908956310416E-3</v>
      </c>
      <c r="D152">
        <f t="shared" si="10"/>
        <v>0.99925583318652911</v>
      </c>
      <c r="E152">
        <f t="shared" si="11"/>
        <v>7.4416681347089231E-4</v>
      </c>
    </row>
    <row r="153" spans="1:5" x14ac:dyDescent="0.35">
      <c r="A153">
        <v>12.1</v>
      </c>
      <c r="B153">
        <f t="shared" si="8"/>
        <v>0.99788627918238804</v>
      </c>
      <c r="C153">
        <f t="shared" si="9"/>
        <v>2.1137208176119637E-3</v>
      </c>
      <c r="D153">
        <f t="shared" si="10"/>
        <v>0.99926019771383578</v>
      </c>
      <c r="E153">
        <f t="shared" si="11"/>
        <v>7.3980228616421506E-4</v>
      </c>
    </row>
    <row r="154" spans="1:5" x14ac:dyDescent="0.35">
      <c r="A154">
        <v>12.2</v>
      </c>
      <c r="B154">
        <f t="shared" ref="B154:B207" si="12">IF(A154&lt;=$B$4,$B$1,IF(A154&lt;=$B$5,1-(1-$B$1)*(1+$B$2*(A154-$B$4)/$B$3)^(-1/$B$2),1))</f>
        <v>0.99789857444602803</v>
      </c>
      <c r="C154">
        <f t="shared" ref="C154:C208" si="13">1-B154</f>
        <v>2.1014255539719695E-3</v>
      </c>
      <c r="D154">
        <f t="shared" ref="D154:D208" si="14">(13+7*B154)/20</f>
        <v>0.99926450105610987</v>
      </c>
      <c r="E154">
        <f t="shared" ref="E154:E208" si="15">1-D154</f>
        <v>7.3549894389013382E-4</v>
      </c>
    </row>
    <row r="155" spans="1:5" x14ac:dyDescent="0.35">
      <c r="A155">
        <v>12.3</v>
      </c>
      <c r="B155">
        <f t="shared" si="12"/>
        <v>0.99791069874816174</v>
      </c>
      <c r="C155">
        <f t="shared" si="13"/>
        <v>2.0893012518382603E-3</v>
      </c>
      <c r="D155">
        <f t="shared" si="14"/>
        <v>0.99926874456185666</v>
      </c>
      <c r="E155">
        <f t="shared" si="15"/>
        <v>7.3125543814334115E-4</v>
      </c>
    </row>
    <row r="156" spans="1:5" x14ac:dyDescent="0.35">
      <c r="A156">
        <v>12.4</v>
      </c>
      <c r="B156">
        <f t="shared" si="12"/>
        <v>0.99792265582633999</v>
      </c>
      <c r="C156">
        <f t="shared" si="13"/>
        <v>2.0773441736600118E-3</v>
      </c>
      <c r="D156">
        <f t="shared" si="14"/>
        <v>0.99927292953921898</v>
      </c>
      <c r="E156">
        <f t="shared" si="15"/>
        <v>7.2707046078102078E-4</v>
      </c>
    </row>
    <row r="157" spans="1:5" x14ac:dyDescent="0.35">
      <c r="A157">
        <v>12.5</v>
      </c>
      <c r="B157">
        <f t="shared" si="12"/>
        <v>0.99793444930713859</v>
      </c>
      <c r="C157">
        <f t="shared" si="13"/>
        <v>2.0655506928614065E-3</v>
      </c>
      <c r="D157">
        <f t="shared" si="14"/>
        <v>0.99927705725749849</v>
      </c>
      <c r="E157">
        <f t="shared" si="15"/>
        <v>7.2294274250150892E-4</v>
      </c>
    </row>
    <row r="158" spans="1:5" x14ac:dyDescent="0.35">
      <c r="A158">
        <v>12.6</v>
      </c>
      <c r="B158">
        <f t="shared" si="12"/>
        <v>0.99794608271030905</v>
      </c>
      <c r="C158">
        <f t="shared" si="13"/>
        <v>2.0539172896909541E-3</v>
      </c>
      <c r="D158">
        <f t="shared" si="14"/>
        <v>0.9992811289486081</v>
      </c>
      <c r="E158">
        <f t="shared" si="15"/>
        <v>7.1887105139190055E-4</v>
      </c>
    </row>
    <row r="159" spans="1:5" x14ac:dyDescent="0.35">
      <c r="A159">
        <v>12.7</v>
      </c>
      <c r="B159">
        <f t="shared" si="12"/>
        <v>0.99795755945274134</v>
      </c>
      <c r="C159">
        <f t="shared" si="13"/>
        <v>2.0424405472586615E-3</v>
      </c>
      <c r="D159">
        <f t="shared" si="14"/>
        <v>0.9992851458084594</v>
      </c>
      <c r="E159">
        <f t="shared" si="15"/>
        <v>7.148541915406037E-4</v>
      </c>
    </row>
    <row r="160" spans="1:5" x14ac:dyDescent="0.35">
      <c r="A160">
        <v>12.8</v>
      </c>
      <c r="B160">
        <f t="shared" si="12"/>
        <v>0.99796888285225116</v>
      </c>
      <c r="C160">
        <f t="shared" si="13"/>
        <v>2.0311171477488399E-3</v>
      </c>
      <c r="D160">
        <f t="shared" si="14"/>
        <v>0.99928910899828804</v>
      </c>
      <c r="E160">
        <f t="shared" si="15"/>
        <v>7.1089100171195518E-4</v>
      </c>
    </row>
    <row r="161" spans="1:5" x14ac:dyDescent="0.35">
      <c r="A161">
        <v>12.9</v>
      </c>
      <c r="B161">
        <f t="shared" si="12"/>
        <v>0.99798005613119845</v>
      </c>
      <c r="C161">
        <f t="shared" si="13"/>
        <v>2.0199438688015547E-3</v>
      </c>
      <c r="D161">
        <f t="shared" si="14"/>
        <v>0.99929301964591954</v>
      </c>
      <c r="E161">
        <f t="shared" si="15"/>
        <v>7.0698035408045534E-4</v>
      </c>
    </row>
    <row r="162" spans="1:5" x14ac:dyDescent="0.35">
      <c r="A162">
        <v>13</v>
      </c>
      <c r="B162">
        <f t="shared" si="12"/>
        <v>0.99799108241994738</v>
      </c>
      <c r="C162">
        <f t="shared" si="13"/>
        <v>2.008917580052616E-3</v>
      </c>
      <c r="D162">
        <f t="shared" si="14"/>
        <v>0.99929687884698171</v>
      </c>
      <c r="E162">
        <f t="shared" si="15"/>
        <v>7.0312115301829348E-4</v>
      </c>
    </row>
    <row r="163" spans="1:5" x14ac:dyDescent="0.35">
      <c r="A163">
        <v>13.1</v>
      </c>
      <c r="B163">
        <f t="shared" si="12"/>
        <v>0.99800196476017566</v>
      </c>
      <c r="C163">
        <f t="shared" si="13"/>
        <v>1.9980352398243362E-3</v>
      </c>
      <c r="D163">
        <f t="shared" si="14"/>
        <v>0.9993006876660615</v>
      </c>
      <c r="E163">
        <f t="shared" si="15"/>
        <v>6.9931233393849546E-4</v>
      </c>
    </row>
    <row r="164" spans="1:5" x14ac:dyDescent="0.35">
      <c r="A164">
        <v>13.2</v>
      </c>
      <c r="B164">
        <f t="shared" si="12"/>
        <v>0.99801270610803983</v>
      </c>
      <c r="C164">
        <f t="shared" si="13"/>
        <v>1.9872938919601735E-3</v>
      </c>
      <c r="D164">
        <f t="shared" si="14"/>
        <v>0.99930444713781397</v>
      </c>
      <c r="E164">
        <f t="shared" si="15"/>
        <v>6.9555286218603296E-4</v>
      </c>
    </row>
    <row r="165" spans="1:5" x14ac:dyDescent="0.35">
      <c r="A165">
        <v>13.3</v>
      </c>
      <c r="B165">
        <f t="shared" si="12"/>
        <v>0.9980233093372054</v>
      </c>
      <c r="C165">
        <f t="shared" si="13"/>
        <v>1.9766906627946002E-3</v>
      </c>
      <c r="D165">
        <f t="shared" si="14"/>
        <v>0.99930815826802188</v>
      </c>
      <c r="E165">
        <f t="shared" si="15"/>
        <v>6.918417319781156E-4</v>
      </c>
    </row>
    <row r="166" spans="1:5" x14ac:dyDescent="0.35">
      <c r="A166">
        <v>13.4</v>
      </c>
      <c r="B166">
        <f t="shared" si="12"/>
        <v>0.99803377724174736</v>
      </c>
      <c r="C166">
        <f t="shared" si="13"/>
        <v>1.9662227582526448E-3</v>
      </c>
      <c r="D166">
        <f t="shared" si="14"/>
        <v>0.99931182203461155</v>
      </c>
      <c r="E166">
        <f t="shared" si="15"/>
        <v>6.8817796538844789E-4</v>
      </c>
    </row>
    <row r="167" spans="1:5" x14ac:dyDescent="0.35">
      <c r="A167">
        <v>13.5</v>
      </c>
      <c r="B167">
        <f t="shared" si="12"/>
        <v>0.99804411253892844</v>
      </c>
      <c r="C167">
        <f t="shared" si="13"/>
        <v>1.9558874610715593E-3</v>
      </c>
      <c r="D167">
        <f t="shared" si="14"/>
        <v>0.99931543938862499</v>
      </c>
      <c r="E167">
        <f t="shared" si="15"/>
        <v>6.845606113750069E-4</v>
      </c>
    </row>
    <row r="168" spans="1:5" x14ac:dyDescent="0.35">
      <c r="A168">
        <v>13.6</v>
      </c>
      <c r="B168">
        <f t="shared" si="12"/>
        <v>0.99805431787186005</v>
      </c>
      <c r="C168">
        <f t="shared" si="13"/>
        <v>1.9456821281399472E-3</v>
      </c>
      <c r="D168">
        <f t="shared" si="14"/>
        <v>0.99931901125515099</v>
      </c>
      <c r="E168">
        <f t="shared" si="15"/>
        <v>6.8098874484900929E-4</v>
      </c>
    </row>
    <row r="169" spans="1:5" x14ac:dyDescent="0.35">
      <c r="A169">
        <v>13.7</v>
      </c>
      <c r="B169">
        <f t="shared" si="12"/>
        <v>0.99806439581205275</v>
      </c>
      <c r="C169">
        <f t="shared" si="13"/>
        <v>1.9356041879472485E-3</v>
      </c>
      <c r="D169">
        <f t="shared" si="14"/>
        <v>0.9993225385342186</v>
      </c>
      <c r="E169">
        <f t="shared" si="15"/>
        <v>6.7746146578140376E-4</v>
      </c>
    </row>
    <row r="170" spans="1:5" x14ac:dyDescent="0.35">
      <c r="A170">
        <v>13.8</v>
      </c>
      <c r="B170">
        <f t="shared" si="12"/>
        <v>0.99807434886186053</v>
      </c>
      <c r="C170">
        <f t="shared" si="13"/>
        <v>1.9256511381394725E-3</v>
      </c>
      <c r="D170">
        <f t="shared" si="14"/>
        <v>0.99932602210165133</v>
      </c>
      <c r="E170">
        <f t="shared" si="15"/>
        <v>6.7397789834866551E-4</v>
      </c>
    </row>
    <row r="171" spans="1:5" x14ac:dyDescent="0.35">
      <c r="A171">
        <v>13.9</v>
      </c>
      <c r="B171">
        <f t="shared" si="12"/>
        <v>0.9980841794568257</v>
      </c>
      <c r="C171">
        <f t="shared" si="13"/>
        <v>1.9158205431742958E-3</v>
      </c>
      <c r="D171">
        <f t="shared" si="14"/>
        <v>0.9993294628098891</v>
      </c>
      <c r="E171">
        <f t="shared" si="15"/>
        <v>6.7053719011089807E-4</v>
      </c>
    </row>
    <row r="172" spans="1:5" x14ac:dyDescent="0.35">
      <c r="A172">
        <v>14</v>
      </c>
      <c r="B172">
        <f t="shared" si="12"/>
        <v>0.99809388996792725</v>
      </c>
      <c r="C172">
        <f t="shared" si="13"/>
        <v>1.9061100320727498E-3</v>
      </c>
      <c r="D172">
        <f t="shared" si="14"/>
        <v>0.99933286148877443</v>
      </c>
      <c r="E172">
        <f t="shared" si="15"/>
        <v>6.6713851122557344E-4</v>
      </c>
    </row>
    <row r="173" spans="1:5" x14ac:dyDescent="0.35">
      <c r="A173">
        <v>14.1</v>
      </c>
      <c r="B173">
        <f t="shared" si="12"/>
        <v>0.99810348270373817</v>
      </c>
      <c r="C173">
        <f t="shared" si="13"/>
        <v>1.8965172962618349E-3</v>
      </c>
      <c r="D173">
        <f t="shared" si="14"/>
        <v>0.99933621894630842</v>
      </c>
      <c r="E173">
        <f t="shared" si="15"/>
        <v>6.6378105369158114E-4</v>
      </c>
    </row>
    <row r="174" spans="1:5" x14ac:dyDescent="0.35">
      <c r="A174">
        <v>14.2</v>
      </c>
      <c r="B174">
        <f t="shared" si="12"/>
        <v>0.99811295991249604</v>
      </c>
      <c r="C174">
        <f t="shared" si="13"/>
        <v>1.887040087503955E-3</v>
      </c>
      <c r="D174">
        <f t="shared" si="14"/>
        <v>0.99933953596937353</v>
      </c>
      <c r="E174">
        <f t="shared" si="15"/>
        <v>6.6046403062647308E-4</v>
      </c>
    </row>
    <row r="175" spans="1:5" x14ac:dyDescent="0.35">
      <c r="A175">
        <v>14.3</v>
      </c>
      <c r="B175">
        <f t="shared" si="12"/>
        <v>0.99812232378409171</v>
      </c>
      <c r="C175">
        <f t="shared" si="13"/>
        <v>1.877676215908286E-3</v>
      </c>
      <c r="D175">
        <f t="shared" si="14"/>
        <v>0.9993428133244322</v>
      </c>
      <c r="E175">
        <f t="shared" si="15"/>
        <v>6.5718667556780019E-4</v>
      </c>
    </row>
    <row r="176" spans="1:5" x14ac:dyDescent="0.35">
      <c r="A176">
        <v>14.4</v>
      </c>
      <c r="B176">
        <f t="shared" si="12"/>
        <v>0.99813157645197781</v>
      </c>
      <c r="C176">
        <f t="shared" si="13"/>
        <v>1.8684235480221911E-3</v>
      </c>
      <c r="D176">
        <f t="shared" si="14"/>
        <v>0.99934605175819224</v>
      </c>
      <c r="E176">
        <f t="shared" si="15"/>
        <v>6.5394824180775579E-4</v>
      </c>
    </row>
    <row r="177" spans="1:5" x14ac:dyDescent="0.35">
      <c r="A177">
        <v>14.5</v>
      </c>
      <c r="B177">
        <f t="shared" si="12"/>
        <v>0.99814071999500265</v>
      </c>
      <c r="C177">
        <f t="shared" si="13"/>
        <v>1.8592800049973546E-3</v>
      </c>
      <c r="D177">
        <f t="shared" si="14"/>
        <v>0.99934925199825098</v>
      </c>
      <c r="E177">
        <f t="shared" si="15"/>
        <v>6.5074800174902414E-4</v>
      </c>
    </row>
    <row r="178" spans="1:5" x14ac:dyDescent="0.35">
      <c r="A178">
        <v>14.6</v>
      </c>
      <c r="B178">
        <f t="shared" si="12"/>
        <v>0.99814975643917292</v>
      </c>
      <c r="C178">
        <f t="shared" si="13"/>
        <v>1.8502435608270806E-3</v>
      </c>
      <c r="D178">
        <f t="shared" si="14"/>
        <v>0.99935241475371051</v>
      </c>
      <c r="E178">
        <f t="shared" si="15"/>
        <v>6.4758524628949488E-4</v>
      </c>
    </row>
    <row r="179" spans="1:5" x14ac:dyDescent="0.35">
      <c r="A179">
        <v>14.7</v>
      </c>
      <c r="B179">
        <f t="shared" si="12"/>
        <v>0.9981586877593468</v>
      </c>
      <c r="C179">
        <f t="shared" si="13"/>
        <v>1.8413122406532034E-3</v>
      </c>
      <c r="D179">
        <f t="shared" si="14"/>
        <v>0.99935554071577148</v>
      </c>
      <c r="E179">
        <f t="shared" si="15"/>
        <v>6.4445928422851573E-4</v>
      </c>
    </row>
    <row r="180" spans="1:5" x14ac:dyDescent="0.35">
      <c r="A180">
        <v>14.8</v>
      </c>
      <c r="B180">
        <f t="shared" si="12"/>
        <v>0.99816751588086261</v>
      </c>
      <c r="C180">
        <f t="shared" si="13"/>
        <v>1.8324841191373897E-3</v>
      </c>
      <c r="D180">
        <f t="shared" si="14"/>
        <v>0.99935863055830187</v>
      </c>
      <c r="E180">
        <f t="shared" si="15"/>
        <v>6.4136944169812526E-4</v>
      </c>
    </row>
    <row r="181" spans="1:5" x14ac:dyDescent="0.35">
      <c r="A181">
        <v>14.9</v>
      </c>
      <c r="B181">
        <f t="shared" si="12"/>
        <v>0.99817624268110483</v>
      </c>
      <c r="C181">
        <f t="shared" si="13"/>
        <v>1.8237573188951695E-3</v>
      </c>
      <c r="D181">
        <f t="shared" si="14"/>
        <v>0.99936168493838673</v>
      </c>
      <c r="E181">
        <f t="shared" si="15"/>
        <v>6.3831506161327045E-4</v>
      </c>
    </row>
    <row r="182" spans="1:5" x14ac:dyDescent="0.35">
      <c r="A182">
        <v>15</v>
      </c>
      <c r="B182">
        <f t="shared" si="12"/>
        <v>0.99818486999100997</v>
      </c>
      <c r="C182">
        <f t="shared" si="13"/>
        <v>1.8151300089900291E-3</v>
      </c>
      <c r="D182">
        <f t="shared" si="14"/>
        <v>0.99936470449685344</v>
      </c>
      <c r="E182">
        <f t="shared" si="15"/>
        <v>6.3529550314656014E-4</v>
      </c>
    </row>
    <row r="183" spans="1:5" x14ac:dyDescent="0.35">
      <c r="A183">
        <v>15.1</v>
      </c>
      <c r="B183">
        <f t="shared" si="12"/>
        <v>0.99819339959651621</v>
      </c>
      <c r="C183">
        <f t="shared" si="13"/>
        <v>1.8066004034837935E-3</v>
      </c>
      <c r="D183">
        <f t="shared" si="14"/>
        <v>0.99936768985878077</v>
      </c>
      <c r="E183">
        <f t="shared" si="15"/>
        <v>6.3231014121922779E-4</v>
      </c>
    </row>
    <row r="184" spans="1:5" x14ac:dyDescent="0.35">
      <c r="A184">
        <v>15.2</v>
      </c>
      <c r="B184">
        <f t="shared" si="12"/>
        <v>0.99820183323995804</v>
      </c>
      <c r="C184">
        <f t="shared" si="13"/>
        <v>1.7981667600419637E-3</v>
      </c>
      <c r="D184">
        <f t="shared" si="14"/>
        <v>0.99937064163398526</v>
      </c>
      <c r="E184">
        <f t="shared" si="15"/>
        <v>6.2935836601474282E-4</v>
      </c>
    </row>
    <row r="185" spans="1:5" x14ac:dyDescent="0.35">
      <c r="A185">
        <v>15.3</v>
      </c>
      <c r="B185">
        <f t="shared" si="12"/>
        <v>0.9982101726214091</v>
      </c>
      <c r="C185">
        <f t="shared" si="13"/>
        <v>1.7898273785909025E-3</v>
      </c>
      <c r="D185">
        <f t="shared" si="14"/>
        <v>0.99937356041749315</v>
      </c>
      <c r="E185">
        <f t="shared" si="15"/>
        <v>6.2643958250685472E-4</v>
      </c>
    </row>
    <row r="186" spans="1:5" x14ac:dyDescent="0.35">
      <c r="A186">
        <v>15.4</v>
      </c>
      <c r="B186">
        <f t="shared" si="12"/>
        <v>0.99821841939997513</v>
      </c>
      <c r="C186">
        <f t="shared" si="13"/>
        <v>1.781580600024868E-3</v>
      </c>
      <c r="D186">
        <f t="shared" si="14"/>
        <v>0.99937644678999127</v>
      </c>
      <c r="E186">
        <f t="shared" si="15"/>
        <v>6.2355321000873154E-4</v>
      </c>
    </row>
    <row r="187" spans="1:5" x14ac:dyDescent="0.35">
      <c r="A187">
        <v>15.5</v>
      </c>
      <c r="B187">
        <f t="shared" si="12"/>
        <v>0.9982265751950391</v>
      </c>
      <c r="C187">
        <f t="shared" si="13"/>
        <v>1.7734248049608992E-3</v>
      </c>
      <c r="D187">
        <f t="shared" si="14"/>
        <v>0.99937930131826369</v>
      </c>
      <c r="E187">
        <f t="shared" si="15"/>
        <v>6.2069868173630915E-4</v>
      </c>
    </row>
    <row r="188" spans="1:5" x14ac:dyDescent="0.35">
      <c r="A188">
        <v>15.6</v>
      </c>
      <c r="B188">
        <f t="shared" si="12"/>
        <v>0.99823464158746134</v>
      </c>
      <c r="C188">
        <f t="shared" si="13"/>
        <v>1.7653584125386645E-3</v>
      </c>
      <c r="D188">
        <f t="shared" si="14"/>
        <v>0.99938212455561148</v>
      </c>
      <c r="E188">
        <f t="shared" si="15"/>
        <v>6.1787544438851594E-4</v>
      </c>
    </row>
    <row r="189" spans="1:5" x14ac:dyDescent="0.35">
      <c r="A189">
        <v>15.7</v>
      </c>
      <c r="B189">
        <f t="shared" si="12"/>
        <v>0.99824262012073506</v>
      </c>
      <c r="C189">
        <f t="shared" si="13"/>
        <v>1.757379879264942E-3</v>
      </c>
      <c r="D189">
        <f t="shared" si="14"/>
        <v>0.99938491704225729</v>
      </c>
      <c r="E189">
        <f t="shared" si="15"/>
        <v>6.1508295774270749E-4</v>
      </c>
    </row>
    <row r="190" spans="1:5" x14ac:dyDescent="0.35">
      <c r="A190">
        <v>15.8</v>
      </c>
      <c r="B190">
        <f t="shared" si="12"/>
        <v>0.99825051230210093</v>
      </c>
      <c r="C190">
        <f t="shared" si="13"/>
        <v>1.7494876978990659E-3</v>
      </c>
      <c r="D190">
        <f t="shared" si="14"/>
        <v>0.99938767930573535</v>
      </c>
      <c r="E190">
        <f t="shared" si="15"/>
        <v>6.123206942646453E-4</v>
      </c>
    </row>
    <row r="191" spans="1:5" x14ac:dyDescent="0.35">
      <c r="A191">
        <v>15.9</v>
      </c>
      <c r="B191">
        <f t="shared" si="12"/>
        <v>0.99825831960362144</v>
      </c>
      <c r="C191">
        <f t="shared" si="13"/>
        <v>1.7416803963785643E-3</v>
      </c>
      <c r="D191">
        <f t="shared" si="14"/>
        <v>0.99939041186126754</v>
      </c>
      <c r="E191">
        <f t="shared" si="15"/>
        <v>6.095881387324642E-4</v>
      </c>
    </row>
    <row r="192" spans="1:5" x14ac:dyDescent="0.35">
      <c r="A192">
        <v>16</v>
      </c>
      <c r="B192">
        <f t="shared" si="12"/>
        <v>0.99826604346321635</v>
      </c>
      <c r="C192">
        <f t="shared" si="13"/>
        <v>1.733956536783654E-3</v>
      </c>
      <c r="D192">
        <f t="shared" si="14"/>
        <v>0.99939311521212582</v>
      </c>
      <c r="E192">
        <f t="shared" si="15"/>
        <v>6.0688478787418454E-4</v>
      </c>
    </row>
    <row r="193" spans="1:5" x14ac:dyDescent="0.35">
      <c r="A193">
        <v>16.100000000000001</v>
      </c>
      <c r="B193">
        <f t="shared" si="12"/>
        <v>0.99827368528566218</v>
      </c>
      <c r="C193">
        <f t="shared" si="13"/>
        <v>1.7263147143378177E-3</v>
      </c>
      <c r="D193">
        <f t="shared" si="14"/>
        <v>0.9993957898499819</v>
      </c>
      <c r="E193">
        <f t="shared" si="15"/>
        <v>6.0421015001810296E-4</v>
      </c>
    </row>
    <row r="194" spans="1:5" x14ac:dyDescent="0.35">
      <c r="A194">
        <v>16.2</v>
      </c>
      <c r="B194">
        <f t="shared" si="12"/>
        <v>0.99828124644355609</v>
      </c>
      <c r="C194">
        <f t="shared" si="13"/>
        <v>1.7187535564439083E-3</v>
      </c>
      <c r="D194">
        <f t="shared" si="14"/>
        <v>0.9993984362552446</v>
      </c>
      <c r="E194">
        <f t="shared" si="15"/>
        <v>6.0156374475539565E-4</v>
      </c>
    </row>
    <row r="195" spans="1:5" x14ac:dyDescent="0.35">
      <c r="A195">
        <v>16.3</v>
      </c>
      <c r="B195">
        <f t="shared" si="12"/>
        <v>0.99828872827824577</v>
      </c>
      <c r="C195">
        <f t="shared" si="13"/>
        <v>1.7112717217542261E-3</v>
      </c>
      <c r="D195">
        <f t="shared" si="14"/>
        <v>0.99940105489738618</v>
      </c>
      <c r="E195">
        <f t="shared" si="15"/>
        <v>5.9894510261382372E-4</v>
      </c>
    </row>
    <row r="196" spans="1:5" x14ac:dyDescent="0.35">
      <c r="A196">
        <v>16.399999999999999</v>
      </c>
      <c r="B196">
        <f t="shared" si="12"/>
        <v>0.99829613210072743</v>
      </c>
      <c r="C196">
        <f t="shared" si="13"/>
        <v>1.7038678992725709E-3</v>
      </c>
      <c r="D196">
        <f t="shared" si="14"/>
        <v>0.99940364623525468</v>
      </c>
      <c r="E196">
        <f t="shared" si="15"/>
        <v>5.9635376474531654E-4</v>
      </c>
    </row>
    <row r="197" spans="1:5" x14ac:dyDescent="0.35">
      <c r="A197">
        <v>16.5</v>
      </c>
      <c r="B197">
        <f t="shared" si="12"/>
        <v>0.9983034591925124</v>
      </c>
      <c r="C197">
        <f t="shared" si="13"/>
        <v>1.6965408074876009E-3</v>
      </c>
      <c r="D197">
        <f t="shared" si="14"/>
        <v>0.99940621071737934</v>
      </c>
      <c r="E197">
        <f t="shared" si="15"/>
        <v>5.9378928262066033E-4</v>
      </c>
    </row>
    <row r="198" spans="1:5" x14ac:dyDescent="0.35">
      <c r="A198">
        <v>16.600000000000001</v>
      </c>
      <c r="B198">
        <f t="shared" si="12"/>
        <v>0.99831071080646372</v>
      </c>
      <c r="C198">
        <f t="shared" si="13"/>
        <v>1.6892891935362808E-3</v>
      </c>
      <c r="D198">
        <f t="shared" si="14"/>
        <v>0.99940874878226238</v>
      </c>
      <c r="E198">
        <f t="shared" si="15"/>
        <v>5.9125121773762057E-4</v>
      </c>
    </row>
    <row r="199" spans="1:5" x14ac:dyDescent="0.35">
      <c r="A199">
        <v>16.7</v>
      </c>
      <c r="B199">
        <f t="shared" si="12"/>
        <v>0.99831788816760481</v>
      </c>
      <c r="C199">
        <f t="shared" si="13"/>
        <v>1.6821118323951945E-3</v>
      </c>
      <c r="D199">
        <f t="shared" si="14"/>
        <v>0.99941126085866172</v>
      </c>
      <c r="E199">
        <f t="shared" si="15"/>
        <v>5.887391413382792E-4</v>
      </c>
    </row>
    <row r="200" spans="1:5" x14ac:dyDescent="0.35">
      <c r="A200">
        <v>16.8</v>
      </c>
      <c r="B200">
        <f t="shared" si="12"/>
        <v>0.99832499247389983</v>
      </c>
      <c r="C200">
        <f t="shared" si="13"/>
        <v>1.6750075261001696E-3</v>
      </c>
      <c r="D200">
        <f t="shared" si="14"/>
        <v>0.99941374736586508</v>
      </c>
      <c r="E200">
        <f t="shared" si="15"/>
        <v>5.8625263413492057E-4</v>
      </c>
    </row>
    <row r="201" spans="1:5" x14ac:dyDescent="0.35">
      <c r="A201">
        <v>16.899999999999999</v>
      </c>
      <c r="B201">
        <f t="shared" si="12"/>
        <v>0.99833202489700812</v>
      </c>
      <c r="C201">
        <f t="shared" si="13"/>
        <v>1.667975102991881E-3</v>
      </c>
      <c r="D201">
        <f t="shared" si="14"/>
        <v>0.99941620871395287</v>
      </c>
      <c r="E201">
        <f t="shared" si="15"/>
        <v>5.837912860471306E-4</v>
      </c>
    </row>
    <row r="202" spans="1:5" x14ac:dyDescent="0.35">
      <c r="A202">
        <v>17</v>
      </c>
      <c r="B202">
        <f t="shared" si="12"/>
        <v>0.99833898658301312</v>
      </c>
      <c r="C202">
        <f t="shared" si="13"/>
        <v>1.6610134169868784E-3</v>
      </c>
      <c r="D202">
        <f t="shared" si="14"/>
        <v>0.99941864530405466</v>
      </c>
      <c r="E202">
        <f t="shared" si="15"/>
        <v>5.8135469594533529E-4</v>
      </c>
    </row>
    <row r="203" spans="1:5" x14ac:dyDescent="0.35">
      <c r="A203">
        <v>17.100000000000001</v>
      </c>
      <c r="B203">
        <f t="shared" si="12"/>
        <v>0.99834587865312752</v>
      </c>
      <c r="C203">
        <f t="shared" si="13"/>
        <v>1.6541213468724836E-3</v>
      </c>
      <c r="D203">
        <f t="shared" si="14"/>
        <v>0.99942105752859456</v>
      </c>
      <c r="E203">
        <f t="shared" si="15"/>
        <v>5.7894247140544142E-4</v>
      </c>
    </row>
    <row r="204" spans="1:5" x14ac:dyDescent="0.35">
      <c r="A204">
        <v>17.2</v>
      </c>
      <c r="B204">
        <f t="shared" si="12"/>
        <v>0.99835270220437378</v>
      </c>
      <c r="C204">
        <f t="shared" si="13"/>
        <v>1.6472977956262236E-3</v>
      </c>
      <c r="D204">
        <f t="shared" si="14"/>
        <v>0.99942344577153075</v>
      </c>
      <c r="E204">
        <f t="shared" si="15"/>
        <v>5.7655422846925042E-4</v>
      </c>
    </row>
    <row r="205" spans="1:5" x14ac:dyDescent="0.35">
      <c r="A205">
        <v>17.3</v>
      </c>
      <c r="B205">
        <f t="shared" si="12"/>
        <v>0.99835945831024331</v>
      </c>
      <c r="C205">
        <f t="shared" si="13"/>
        <v>1.6405416897566916E-3</v>
      </c>
      <c r="D205">
        <f t="shared" si="14"/>
        <v>0.99942581040858514</v>
      </c>
      <c r="E205">
        <f t="shared" si="15"/>
        <v>5.7418959141486425E-4</v>
      </c>
    </row>
    <row r="206" spans="1:5" x14ac:dyDescent="0.35">
      <c r="A206">
        <v>17.399999999999999</v>
      </c>
      <c r="B206">
        <f t="shared" si="12"/>
        <v>0.99836614802133361</v>
      </c>
      <c r="C206">
        <f t="shared" si="13"/>
        <v>1.6338519786663896E-3</v>
      </c>
      <c r="D206">
        <f t="shared" si="14"/>
        <v>0.9994281518074668</v>
      </c>
      <c r="E206">
        <f t="shared" si="15"/>
        <v>5.7184819253319752E-4</v>
      </c>
    </row>
    <row r="207" spans="1:5" x14ac:dyDescent="0.35">
      <c r="A207">
        <v>17.5</v>
      </c>
      <c r="B207">
        <f t="shared" si="12"/>
        <v>0.99837277236596444</v>
      </c>
      <c r="C207">
        <f t="shared" si="13"/>
        <v>1.6272276340355551E-3</v>
      </c>
      <c r="D207">
        <f t="shared" si="14"/>
        <v>0.99943047032808752</v>
      </c>
      <c r="E207">
        <f t="shared" si="15"/>
        <v>5.6952967191248316E-4</v>
      </c>
    </row>
    <row r="208" spans="1:5" x14ac:dyDescent="0.35">
      <c r="A208">
        <v>17.5</v>
      </c>
      <c r="B208">
        <v>1</v>
      </c>
      <c r="C208">
        <f t="shared" si="13"/>
        <v>0</v>
      </c>
      <c r="D208">
        <f t="shared" si="14"/>
        <v>1</v>
      </c>
      <c r="E208">
        <f t="shared" si="15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143E-2E16-4C97-8058-7C0168DF5DDB}">
  <dimension ref="A2:K34"/>
  <sheetViews>
    <sheetView topLeftCell="E3" zoomScaleNormal="100" workbookViewId="0">
      <selection activeCell="E12" sqref="E12"/>
    </sheetView>
  </sheetViews>
  <sheetFormatPr defaultRowHeight="14.5" x14ac:dyDescent="0.35"/>
  <cols>
    <col min="1" max="9" width="15.7265625" customWidth="1"/>
    <col min="10" max="10" width="12.54296875" customWidth="1"/>
    <col min="11" max="11" width="10.7265625" customWidth="1"/>
  </cols>
  <sheetData>
    <row r="2" spans="1:11" ht="58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5">
      <c r="A3" t="s">
        <v>21</v>
      </c>
      <c r="B3">
        <v>2015</v>
      </c>
      <c r="C3">
        <v>2017</v>
      </c>
      <c r="D3">
        <f>C3-B3+1</f>
        <v>3</v>
      </c>
      <c r="E3">
        <v>1000</v>
      </c>
      <c r="F3">
        <f>E3/1000000</f>
        <v>1E-3</v>
      </c>
      <c r="G3">
        <f>F3/D3</f>
        <v>3.3333333333333332E-4</v>
      </c>
      <c r="H3">
        <f>G3/7.35</f>
        <v>4.5351473922902495E-5</v>
      </c>
      <c r="I3" s="2">
        <v>15</v>
      </c>
      <c r="J3">
        <v>1.6699999999999999E-4</v>
      </c>
      <c r="K3">
        <f>J3*100</f>
        <v>1.67E-2</v>
      </c>
    </row>
    <row r="4" spans="1:11" x14ac:dyDescent="0.35">
      <c r="A4" t="s">
        <v>22</v>
      </c>
      <c r="B4">
        <v>2002</v>
      </c>
      <c r="C4">
        <v>2003</v>
      </c>
      <c r="D4">
        <f>C4-B4+1</f>
        <v>2</v>
      </c>
      <c r="E4">
        <v>1000</v>
      </c>
      <c r="F4">
        <f>E4/1000000</f>
        <v>1E-3</v>
      </c>
      <c r="G4">
        <f>F4/D4</f>
        <v>5.0000000000000001E-4</v>
      </c>
      <c r="H4">
        <v>1.1659276193378199E-4</v>
      </c>
      <c r="I4" s="2">
        <v>11</v>
      </c>
      <c r="J4">
        <v>2.5000000000000001E-4</v>
      </c>
      <c r="K4">
        <f t="shared" ref="K4:K7" si="0">J4*100</f>
        <v>2.5000000000000001E-2</v>
      </c>
    </row>
    <row r="5" spans="1:11" x14ac:dyDescent="0.35">
      <c r="A5" t="s">
        <v>23</v>
      </c>
      <c r="B5">
        <v>2014</v>
      </c>
      <c r="C5">
        <v>2014</v>
      </c>
      <c r="D5">
        <f>C5-B5+1</f>
        <v>1</v>
      </c>
      <c r="E5">
        <v>11325</v>
      </c>
      <c r="F5">
        <f>E5/1000000</f>
        <v>1.1325E-2</v>
      </c>
      <c r="G5">
        <f>F5/D5</f>
        <v>1.1325E-2</v>
      </c>
      <c r="H5">
        <v>3.9265207718322873E-4</v>
      </c>
      <c r="I5" s="2">
        <v>72</v>
      </c>
      <c r="J5">
        <v>8.3000000000000001E-4</v>
      </c>
      <c r="K5">
        <f t="shared" si="0"/>
        <v>8.3000000000000004E-2</v>
      </c>
    </row>
    <row r="6" spans="1:11" x14ac:dyDescent="0.35">
      <c r="A6" t="s">
        <v>24</v>
      </c>
      <c r="B6">
        <v>2020</v>
      </c>
      <c r="C6">
        <v>2022</v>
      </c>
      <c r="D6">
        <f>C6-B6+1</f>
        <v>3</v>
      </c>
      <c r="E6">
        <v>21300000</v>
      </c>
      <c r="F6">
        <f>E6/1000000</f>
        <v>21.3</v>
      </c>
      <c r="G6">
        <v>2.5</v>
      </c>
      <c r="H6">
        <f>G6/7.76</f>
        <v>0.32216494845360827</v>
      </c>
      <c r="I6" s="2">
        <v>3151</v>
      </c>
      <c r="J6">
        <v>3.5999999999999997E-2</v>
      </c>
      <c r="K6">
        <f t="shared" si="0"/>
        <v>3.5999999999999996</v>
      </c>
    </row>
    <row r="7" spans="1:11" x14ac:dyDescent="0.35">
      <c r="A7" t="s">
        <v>25</v>
      </c>
      <c r="B7">
        <v>1918</v>
      </c>
      <c r="C7">
        <v>1920</v>
      </c>
      <c r="D7">
        <f>C7-B7+1</f>
        <v>3</v>
      </c>
      <c r="E7">
        <v>32000000</v>
      </c>
      <c r="F7">
        <f>E7/1000000</f>
        <v>32</v>
      </c>
      <c r="G7">
        <f>F7/D7</f>
        <v>10.666666666666666</v>
      </c>
      <c r="H7">
        <v>5.694051495578214</v>
      </c>
      <c r="I7" s="2">
        <v>1751</v>
      </c>
      <c r="J7" s="3">
        <v>0.02</v>
      </c>
      <c r="K7">
        <f t="shared" si="0"/>
        <v>2</v>
      </c>
    </row>
    <row r="14" spans="1:11" x14ac:dyDescent="0.35">
      <c r="A14" s="4" t="s">
        <v>26</v>
      </c>
      <c r="B14" s="4" t="s">
        <v>27</v>
      </c>
    </row>
    <row r="15" spans="1:11" x14ac:dyDescent="0.35">
      <c r="A15" s="4"/>
      <c r="B15" s="4"/>
    </row>
    <row r="16" spans="1:11" x14ac:dyDescent="0.35">
      <c r="A16">
        <v>2002</v>
      </c>
      <c r="B16">
        <v>2.3371637309079318</v>
      </c>
      <c r="C16">
        <f t="shared" ref="C16:C33" si="1">1+B16/100</f>
        <v>1.0233716373090793</v>
      </c>
      <c r="D16">
        <f>PRODUCT(C16:C$32)</f>
        <v>1.6539171369087313</v>
      </c>
    </row>
    <row r="17" spans="1:4" x14ac:dyDescent="0.35">
      <c r="A17">
        <v>2003</v>
      </c>
      <c r="B17">
        <v>3.1593259357540262</v>
      </c>
      <c r="C17">
        <f t="shared" si="1"/>
        <v>1.0315932593575403</v>
      </c>
      <c r="D17">
        <f>PRODUCT(C17:C$32)</f>
        <v>1.6161451779703901</v>
      </c>
    </row>
    <row r="18" spans="1:4" x14ac:dyDescent="0.35">
      <c r="A18">
        <v>2004</v>
      </c>
      <c r="B18">
        <v>4.4798935995066245</v>
      </c>
      <c r="C18">
        <f t="shared" si="1"/>
        <v>1.0447989359950662</v>
      </c>
      <c r="D18">
        <f>PRODUCT(C18:C$32)</f>
        <v>1.5666496105033669</v>
      </c>
    </row>
    <row r="19" spans="1:4" x14ac:dyDescent="0.35">
      <c r="A19">
        <v>2005</v>
      </c>
      <c r="B19">
        <v>4.0481740082071127</v>
      </c>
      <c r="C19">
        <f t="shared" si="1"/>
        <v>1.0404817400820712</v>
      </c>
      <c r="D19">
        <f>PRODUCT(C19:C$32)</f>
        <v>1.4994747377028013</v>
      </c>
    </row>
    <row r="20" spans="1:4" x14ac:dyDescent="0.35">
      <c r="A20">
        <v>2006</v>
      </c>
      <c r="B20">
        <v>4.4956256640955132</v>
      </c>
      <c r="C20">
        <f t="shared" si="1"/>
        <v>1.0449562566409552</v>
      </c>
      <c r="D20">
        <f>PRODUCT(C20:C$32)</f>
        <v>1.4411350818943975</v>
      </c>
    </row>
    <row r="21" spans="1:4" x14ac:dyDescent="0.35">
      <c r="A21">
        <v>2007</v>
      </c>
      <c r="B21">
        <v>4.4387543069204698</v>
      </c>
      <c r="C21">
        <f t="shared" si="1"/>
        <v>1.0443875430692047</v>
      </c>
      <c r="D21">
        <f>PRODUCT(C21:C$32)</f>
        <v>1.3791343635062496</v>
      </c>
    </row>
    <row r="22" spans="1:4" x14ac:dyDescent="0.35">
      <c r="A22">
        <v>2008</v>
      </c>
      <c r="B22">
        <v>2.0008305118015501</v>
      </c>
      <c r="C22">
        <f t="shared" si="1"/>
        <v>1.0200083051180155</v>
      </c>
      <c r="D22">
        <f>PRODUCT(C22:C$32)</f>
        <v>1.3205197368146546</v>
      </c>
    </row>
    <row r="23" spans="1:4" x14ac:dyDescent="0.35">
      <c r="A23">
        <v>2009</v>
      </c>
      <c r="B23">
        <v>3.0372460282895588</v>
      </c>
      <c r="C23">
        <f t="shared" si="1"/>
        <v>1.0303724602828956</v>
      </c>
      <c r="D23">
        <f>PRODUCT(C23:C$32)</f>
        <v>1.2946166518338984</v>
      </c>
    </row>
    <row r="24" spans="1:4" x14ac:dyDescent="0.35">
      <c r="A24">
        <v>2010</v>
      </c>
      <c r="B24">
        <v>1.2606817972985453</v>
      </c>
      <c r="C24">
        <f t="shared" si="1"/>
        <v>1.0126068179729855</v>
      </c>
      <c r="D24">
        <f>PRODUCT(C24:C$32)</f>
        <v>1.2564550215933104</v>
      </c>
    </row>
    <row r="25" spans="1:4" x14ac:dyDescent="0.35">
      <c r="A25">
        <v>2011</v>
      </c>
      <c r="B25">
        <v>3.1378740857697807</v>
      </c>
      <c r="C25">
        <f t="shared" si="1"/>
        <v>1.0313787408576978</v>
      </c>
      <c r="D25">
        <f>PRODUCT(C25:C$32)</f>
        <v>1.2408123264550552</v>
      </c>
    </row>
    <row r="26" spans="1:4" x14ac:dyDescent="0.35">
      <c r="A26">
        <v>2012</v>
      </c>
      <c r="B26">
        <v>1.0100299137779416</v>
      </c>
      <c r="C26">
        <f t="shared" si="1"/>
        <v>1.0101002991377794</v>
      </c>
      <c r="D26">
        <f>PRODUCT(C26:C$32)</f>
        <v>1.2030617631532643</v>
      </c>
    </row>
    <row r="27" spans="1:4" x14ac:dyDescent="0.35">
      <c r="A27">
        <v>2013</v>
      </c>
      <c r="B27">
        <v>0.46860845934079975</v>
      </c>
      <c r="C27">
        <f t="shared" si="1"/>
        <v>1.004686084593408</v>
      </c>
      <c r="D27">
        <f>PRODUCT(C27:C$32)</f>
        <v>1.1910319838338792</v>
      </c>
    </row>
    <row r="28" spans="1:4" x14ac:dyDescent="0.35">
      <c r="A28">
        <v>2014</v>
      </c>
      <c r="B28">
        <v>3.1262462504117963</v>
      </c>
      <c r="C28">
        <f t="shared" si="1"/>
        <v>1.031262462504118</v>
      </c>
      <c r="D28">
        <f>PRODUCT(C28:C$32)</f>
        <v>1.1854767395488355</v>
      </c>
    </row>
    <row r="29" spans="1:4" x14ac:dyDescent="0.35">
      <c r="A29">
        <v>2015</v>
      </c>
      <c r="B29">
        <v>0.37157845181251048</v>
      </c>
      <c r="C29">
        <f t="shared" si="1"/>
        <v>1.003715784518125</v>
      </c>
      <c r="D29">
        <f>PRODUCT(C29:C$32)</f>
        <v>1.149539309973771</v>
      </c>
    </row>
    <row r="30" spans="1:4" x14ac:dyDescent="0.35">
      <c r="A30">
        <v>2016</v>
      </c>
      <c r="B30">
        <v>4.6886778230061736</v>
      </c>
      <c r="C30">
        <f t="shared" si="1"/>
        <v>1.0468867782300617</v>
      </c>
      <c r="D30">
        <f>PRODUCT(C30:C$32)</f>
        <v>1.1452836825971153</v>
      </c>
    </row>
    <row r="31" spans="1:4" x14ac:dyDescent="0.35">
      <c r="A31">
        <v>2017</v>
      </c>
      <c r="B31">
        <v>6.3156041986687228</v>
      </c>
      <c r="C31">
        <f t="shared" si="1"/>
        <v>1.0631560419866872</v>
      </c>
      <c r="D31">
        <f>PRODUCT(C31:C$32)</f>
        <v>1.0939900153609832</v>
      </c>
    </row>
    <row r="32" spans="1:4" x14ac:dyDescent="0.35">
      <c r="A32">
        <v>2018</v>
      </c>
      <c r="B32">
        <v>2.9002302725644569</v>
      </c>
      <c r="C32">
        <f t="shared" si="1"/>
        <v>1.0290023027256445</v>
      </c>
      <c r="D32">
        <f>PRODUCT(C32:C$32)</f>
        <v>1.0290023027256445</v>
      </c>
    </row>
    <row r="33" spans="1:4" x14ac:dyDescent="0.35">
      <c r="A33">
        <v>2019</v>
      </c>
      <c r="B33">
        <v>3.9125347374579462</v>
      </c>
      <c r="C33">
        <f t="shared" si="1"/>
        <v>1.0391253473745794</v>
      </c>
      <c r="D33">
        <v>1</v>
      </c>
    </row>
    <row r="34" spans="1:4" x14ac:dyDescent="0.35">
      <c r="C34">
        <f>AVERAGE(C16:C33)</f>
        <v>1.0306605998753282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1 exceedence prob</vt:lpstr>
      <vt:lpstr>Fig 2 intensity 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M. Snyder</dc:creator>
  <cp:lastModifiedBy>Sebastian Barungi Rugunda Quaade</cp:lastModifiedBy>
  <dcterms:created xsi:type="dcterms:W3CDTF">2023-05-07T19:27:22Z</dcterms:created>
  <dcterms:modified xsi:type="dcterms:W3CDTF">2024-06-04T12:13:08Z</dcterms:modified>
</cp:coreProperties>
</file>